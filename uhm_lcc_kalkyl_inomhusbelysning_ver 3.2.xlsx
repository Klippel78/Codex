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https://upphandlingsmyndigheten-my.sharepoint.com/personal/anette_svensson_uhmynd_se/Documents/2025/Kriterier/"/>
    </mc:Choice>
  </mc:AlternateContent>
  <xr:revisionPtr revIDLastSave="0" documentId="8_{A82F1C73-7F78-45BE-81C6-5ED1ECB30B78}" xr6:coauthVersionLast="47" xr6:coauthVersionMax="47" xr10:uidLastSave="{00000000-0000-0000-0000-000000000000}"/>
  <workbookProtection workbookAlgorithmName="SHA-512" workbookHashValue="8T9fpxLU7NcCrV10HGxBEn/FzIzqazmduq2N/ArVOQwyJh/Knjw5IB3Ff+7fTDG4IUqbRcFfrxCya+ypW7T6Dg==" workbookSaltValue="Zj24ouUHZNQ/k4OccUHWAw==" workbookSpinCount="100000" lockStructure="1"/>
  <bookViews>
    <workbookView xWindow="3795" yWindow="0" windowWidth="21600" windowHeight="11325" firstSheet="1" activeTab="1" xr2:uid="{8D72C481-29F5-4E17-99EC-80253765CE5F}"/>
  </bookViews>
  <sheets>
    <sheet name="1. Introduktion" sheetId="28" r:id="rId1"/>
    <sheet name="2. LCC A1" sheetId="12" r:id="rId2"/>
    <sheet name="2. LCC A2" sheetId="23" r:id="rId3"/>
    <sheet name="2. LCC A3" sheetId="24" r:id="rId4"/>
    <sheet name="2. LCC A4" sheetId="25" r:id="rId5"/>
    <sheet name="3. Kalkylparametrar" sheetId="21" r:id="rId6"/>
    <sheet name="4. Reduktionsfaktorer, LENI-tal" sheetId="22" r:id="rId7"/>
    <sheet name="5. Beräkningsfaktorer klimat" sheetId="20" r:id="rId8"/>
    <sheet name="6. Resultat" sheetId="27" r:id="rId9"/>
    <sheet name="7. Svarsformulär" sheetId="29" r:id="rId10"/>
  </sheets>
  <definedNames>
    <definedName name="_xlnm._FilterDatabase" localSheetId="1" hidden="1">'2. LCC A1'!#REF!</definedName>
    <definedName name="_xlnm._FilterDatabase" localSheetId="2" hidden="1">'2. LCC A2'!#REF!</definedName>
    <definedName name="_xlnm._FilterDatabase" localSheetId="3" hidden="1">'2. LCC A3'!#REF!</definedName>
    <definedName name="_xlnm._FilterDatabase" localSheetId="4" hidden="1">'2. LCC A4'!#REF!</definedName>
    <definedName name="Faktorer">#REF!</definedName>
    <definedName name="KONTOR">'4. Reduktionsfaktorer, LENI-tal'!$Q$13:$Q$23</definedName>
    <definedName name="Omvandlingsfaktorer">#REF!</definedName>
    <definedName name="SJUKHUS">'4. Reduktionsfaktorer, LENI-tal'!$T$13:$T$23</definedName>
    <definedName name="SKOLA">#REF!</definedName>
    <definedName name="SKOLA_OCH_RESTAURANG">'4. Reduktionsfaktorer, LENI-tal'!$R$13:$R$23</definedName>
    <definedName name="SPORTHALL">'4. Reduktionsfaktorer, LENI-tal'!$S$13:$S$23</definedName>
    <definedName name="SPORTHALLAR">#REF!</definedName>
    <definedName name="STYRNING">#REF!</definedName>
    <definedName name="_xlnm.Print_Area" localSheetId="9">'7. Svarsformulär'!$C$7:$O$84,'7. Svarsformulär'!$S$7:$AE$84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25" l="1"/>
  <c r="H20" i="24"/>
  <c r="H20" i="23"/>
  <c r="L19" i="25"/>
  <c r="L19" i="24"/>
  <c r="L19" i="23"/>
  <c r="L19" i="12"/>
  <c r="H20" i="12" s="1"/>
  <c r="R148" i="25"/>
  <c r="Q148" i="25"/>
  <c r="P148" i="25"/>
  <c r="O148" i="25"/>
  <c r="N148" i="25"/>
  <c r="M148" i="25"/>
  <c r="L148" i="25"/>
  <c r="K148" i="25"/>
  <c r="J148" i="25"/>
  <c r="I148" i="25"/>
  <c r="R147" i="25" a="1"/>
  <c r="R147" i="25" s="1"/>
  <c r="Q147" i="25" a="1"/>
  <c r="Q147" i="25" s="1"/>
  <c r="P147" i="25" a="1"/>
  <c r="P147" i="25" s="1"/>
  <c r="O147" i="25" a="1"/>
  <c r="O147" i="25" s="1"/>
  <c r="N147" i="25" a="1"/>
  <c r="N147" i="25" s="1"/>
  <c r="M147" i="25" a="1"/>
  <c r="M147" i="25" s="1"/>
  <c r="L147" i="25" a="1"/>
  <c r="L147" i="25" s="1"/>
  <c r="K147" i="25" a="1"/>
  <c r="K147" i="25" s="1"/>
  <c r="J147" i="25" a="1"/>
  <c r="J147" i="25" s="1"/>
  <c r="I147" i="25" a="1"/>
  <c r="I147" i="25" s="1"/>
  <c r="R146" i="25" a="1"/>
  <c r="R146" i="25" s="1"/>
  <c r="Q146" i="25" a="1"/>
  <c r="Q146" i="25" s="1"/>
  <c r="P146" i="25" a="1"/>
  <c r="P146" i="25" s="1"/>
  <c r="O146" i="25" a="1"/>
  <c r="O146" i="25" s="1"/>
  <c r="N146" i="25" a="1"/>
  <c r="N146" i="25" s="1"/>
  <c r="M146" i="25" a="1"/>
  <c r="M146" i="25" s="1"/>
  <c r="L146" i="25" a="1"/>
  <c r="L146" i="25" s="1"/>
  <c r="K146" i="25" a="1"/>
  <c r="K146" i="25" s="1"/>
  <c r="J146" i="25" a="1"/>
  <c r="J146" i="25" s="1"/>
  <c r="I146" i="25" a="1"/>
  <c r="I146" i="25" s="1"/>
  <c r="R145" i="25" a="1"/>
  <c r="R145" i="25" s="1"/>
  <c r="Q145" i="25" a="1"/>
  <c r="Q145" i="25" s="1"/>
  <c r="P145" i="25" a="1"/>
  <c r="P145" i="25" s="1"/>
  <c r="O145" i="25" a="1"/>
  <c r="O145" i="25" s="1"/>
  <c r="N145" i="25" a="1"/>
  <c r="N145" i="25" s="1"/>
  <c r="M145" i="25" a="1"/>
  <c r="M145" i="25" s="1"/>
  <c r="L145" i="25" a="1"/>
  <c r="L145" i="25" s="1"/>
  <c r="K145" i="25" a="1"/>
  <c r="K145" i="25" s="1"/>
  <c r="J145" i="25" a="1"/>
  <c r="J145" i="25" s="1"/>
  <c r="I145" i="25" a="1"/>
  <c r="I145" i="25" s="1"/>
  <c r="R136" i="25"/>
  <c r="Q136" i="25"/>
  <c r="P136" i="25"/>
  <c r="O136" i="25"/>
  <c r="N136" i="25"/>
  <c r="M136" i="25"/>
  <c r="L136" i="25"/>
  <c r="K136" i="25"/>
  <c r="J136" i="25"/>
  <c r="I136" i="25"/>
  <c r="R135" i="25" a="1"/>
  <c r="R135" i="25" s="1"/>
  <c r="Q135" i="25" a="1"/>
  <c r="Q135" i="25" s="1"/>
  <c r="P135" i="25" a="1"/>
  <c r="P135" i="25" s="1"/>
  <c r="O135" i="25" a="1"/>
  <c r="O135" i="25" s="1"/>
  <c r="N135" i="25" a="1"/>
  <c r="N135" i="25" s="1"/>
  <c r="M135" i="25" a="1"/>
  <c r="M135" i="25" s="1"/>
  <c r="L135" i="25" a="1"/>
  <c r="L135" i="25" s="1"/>
  <c r="K135" i="25" a="1"/>
  <c r="K135" i="25" s="1"/>
  <c r="J135" i="25" a="1"/>
  <c r="J135" i="25" s="1"/>
  <c r="I135" i="25" a="1"/>
  <c r="I135" i="25" s="1"/>
  <c r="R134" i="25" a="1"/>
  <c r="R134" i="25" s="1"/>
  <c r="Q134" i="25" a="1"/>
  <c r="Q134" i="25" s="1"/>
  <c r="P134" i="25" a="1"/>
  <c r="P134" i="25" s="1"/>
  <c r="O134" i="25" a="1"/>
  <c r="O134" i="25" s="1"/>
  <c r="N134" i="25" a="1"/>
  <c r="N134" i="25" s="1"/>
  <c r="M134" i="25" a="1"/>
  <c r="M134" i="25" s="1"/>
  <c r="L134" i="25" a="1"/>
  <c r="L134" i="25" s="1"/>
  <c r="K134" i="25" a="1"/>
  <c r="K134" i="25" s="1"/>
  <c r="J134" i="25" a="1"/>
  <c r="J134" i="25" s="1"/>
  <c r="I134" i="25" a="1"/>
  <c r="I134" i="25" s="1"/>
  <c r="R133" i="25" a="1"/>
  <c r="R133" i="25" s="1"/>
  <c r="Q133" i="25" a="1"/>
  <c r="Q133" i="25" s="1"/>
  <c r="P133" i="25" a="1"/>
  <c r="P133" i="25" s="1"/>
  <c r="O133" i="25" a="1"/>
  <c r="O133" i="25" s="1"/>
  <c r="N133" i="25" a="1"/>
  <c r="N133" i="25" s="1"/>
  <c r="M133" i="25" a="1"/>
  <c r="M133" i="25" s="1"/>
  <c r="L133" i="25" a="1"/>
  <c r="L133" i="25" s="1"/>
  <c r="K133" i="25" a="1"/>
  <c r="K133" i="25" s="1"/>
  <c r="J133" i="25" a="1"/>
  <c r="J133" i="25" s="1"/>
  <c r="I133" i="25" a="1"/>
  <c r="I133" i="25" s="1"/>
  <c r="R124" i="25"/>
  <c r="Q124" i="25"/>
  <c r="P124" i="25"/>
  <c r="O124" i="25"/>
  <c r="N124" i="25"/>
  <c r="M124" i="25"/>
  <c r="L124" i="25"/>
  <c r="K124" i="25"/>
  <c r="J124" i="25"/>
  <c r="I124" i="25"/>
  <c r="R123" i="25" a="1"/>
  <c r="R123" i="25" s="1"/>
  <c r="Q123" i="25" a="1"/>
  <c r="Q123" i="25" s="1"/>
  <c r="P123" i="25" a="1"/>
  <c r="P123" i="25" s="1"/>
  <c r="O123" i="25" a="1"/>
  <c r="O123" i="25" s="1"/>
  <c r="N123" i="25" a="1"/>
  <c r="N123" i="25" s="1"/>
  <c r="M123" i="25" a="1"/>
  <c r="M123" i="25" s="1"/>
  <c r="L123" i="25" a="1"/>
  <c r="L123" i="25" s="1"/>
  <c r="K123" i="25" a="1"/>
  <c r="K123" i="25" s="1"/>
  <c r="J123" i="25" a="1"/>
  <c r="J123" i="25" s="1"/>
  <c r="I123" i="25" a="1"/>
  <c r="I123" i="25" s="1"/>
  <c r="R122" i="25" a="1"/>
  <c r="R122" i="25" s="1"/>
  <c r="Q122" i="25" a="1"/>
  <c r="Q122" i="25" s="1"/>
  <c r="P122" i="25" a="1"/>
  <c r="P122" i="25" s="1"/>
  <c r="O122" i="25" a="1"/>
  <c r="O122" i="25" s="1"/>
  <c r="N122" i="25" a="1"/>
  <c r="N122" i="25" s="1"/>
  <c r="M122" i="25" a="1"/>
  <c r="M122" i="25" s="1"/>
  <c r="L122" i="25" a="1"/>
  <c r="L122" i="25" s="1"/>
  <c r="K122" i="25" a="1"/>
  <c r="K122" i="25" s="1"/>
  <c r="J122" i="25" a="1"/>
  <c r="J122" i="25" s="1"/>
  <c r="I122" i="25" a="1"/>
  <c r="I122" i="25" s="1"/>
  <c r="R121" i="25" a="1"/>
  <c r="R121" i="25" s="1"/>
  <c r="Q121" i="25" a="1"/>
  <c r="Q121" i="25" s="1"/>
  <c r="P121" i="25" a="1"/>
  <c r="P121" i="25" s="1"/>
  <c r="O121" i="25" a="1"/>
  <c r="O121" i="25" s="1"/>
  <c r="N121" i="25" a="1"/>
  <c r="N121" i="25" s="1"/>
  <c r="M121" i="25" a="1"/>
  <c r="M121" i="25" s="1"/>
  <c r="L121" i="25" a="1"/>
  <c r="L121" i="25" s="1"/>
  <c r="K121" i="25" a="1"/>
  <c r="K121" i="25" s="1"/>
  <c r="J121" i="25" a="1"/>
  <c r="J121" i="25" s="1"/>
  <c r="I121" i="25" a="1"/>
  <c r="I121" i="25" s="1"/>
  <c r="R112" i="25"/>
  <c r="Q112" i="25"/>
  <c r="P112" i="25"/>
  <c r="O112" i="25"/>
  <c r="N112" i="25"/>
  <c r="M112" i="25"/>
  <c r="L112" i="25"/>
  <c r="K112" i="25"/>
  <c r="J112" i="25"/>
  <c r="I112" i="25"/>
  <c r="R111" i="25" a="1"/>
  <c r="R111" i="25" s="1"/>
  <c r="Q111" i="25" a="1"/>
  <c r="Q111" i="25" s="1"/>
  <c r="P111" i="25" a="1"/>
  <c r="P111" i="25" s="1"/>
  <c r="O111" i="25" a="1"/>
  <c r="O111" i="25" s="1"/>
  <c r="N111" i="25" a="1"/>
  <c r="N111" i="25" s="1"/>
  <c r="M111" i="25" a="1"/>
  <c r="M111" i="25" s="1"/>
  <c r="L111" i="25" a="1"/>
  <c r="L111" i="25" s="1"/>
  <c r="K111" i="25" a="1"/>
  <c r="K111" i="25" s="1"/>
  <c r="J111" i="25" a="1"/>
  <c r="J111" i="25" s="1"/>
  <c r="I111" i="25" a="1"/>
  <c r="I111" i="25" s="1"/>
  <c r="R110" i="25" a="1"/>
  <c r="R110" i="25" s="1"/>
  <c r="Q110" i="25" a="1"/>
  <c r="Q110" i="25" s="1"/>
  <c r="P110" i="25" a="1"/>
  <c r="P110" i="25" s="1"/>
  <c r="O110" i="25" a="1"/>
  <c r="O110" i="25" s="1"/>
  <c r="N110" i="25" a="1"/>
  <c r="N110" i="25" s="1"/>
  <c r="M110" i="25" a="1"/>
  <c r="M110" i="25" s="1"/>
  <c r="L110" i="25" a="1"/>
  <c r="L110" i="25" s="1"/>
  <c r="K110" i="25" a="1"/>
  <c r="K110" i="25" s="1"/>
  <c r="J110" i="25" a="1"/>
  <c r="J110" i="25" s="1"/>
  <c r="I110" i="25" a="1"/>
  <c r="I110" i="25" s="1"/>
  <c r="R109" i="25" a="1"/>
  <c r="R109" i="25" s="1"/>
  <c r="Q109" i="25" a="1"/>
  <c r="Q109" i="25" s="1"/>
  <c r="P109" i="25" a="1"/>
  <c r="P109" i="25" s="1"/>
  <c r="O109" i="25" a="1"/>
  <c r="O109" i="25" s="1"/>
  <c r="N109" i="25" a="1"/>
  <c r="N109" i="25" s="1"/>
  <c r="M109" i="25" a="1"/>
  <c r="M109" i="25" s="1"/>
  <c r="L109" i="25" a="1"/>
  <c r="L109" i="25" s="1"/>
  <c r="K109" i="25" a="1"/>
  <c r="K109" i="25" s="1"/>
  <c r="J109" i="25" a="1"/>
  <c r="J109" i="25" s="1"/>
  <c r="I109" i="25" a="1"/>
  <c r="I109" i="25" s="1"/>
  <c r="R100" i="25"/>
  <c r="Q100" i="25"/>
  <c r="P100" i="25"/>
  <c r="O100" i="25"/>
  <c r="N100" i="25"/>
  <c r="M100" i="25"/>
  <c r="L100" i="25"/>
  <c r="K100" i="25"/>
  <c r="J100" i="25"/>
  <c r="I100" i="25"/>
  <c r="R99" i="25" a="1"/>
  <c r="R99" i="25" s="1"/>
  <c r="Q99" i="25" a="1"/>
  <c r="Q99" i="25" s="1"/>
  <c r="P99" i="25" a="1"/>
  <c r="P99" i="25" s="1"/>
  <c r="O99" i="25" a="1"/>
  <c r="O99" i="25" s="1"/>
  <c r="N99" i="25"/>
  <c r="N99" i="25" a="1"/>
  <c r="M99" i="25" a="1"/>
  <c r="M99" i="25" s="1"/>
  <c r="L99" i="25" a="1"/>
  <c r="L99" i="25" s="1"/>
  <c r="K99" i="25" a="1"/>
  <c r="K99" i="25" s="1"/>
  <c r="J99" i="25"/>
  <c r="J99" i="25" a="1"/>
  <c r="I99" i="25" a="1"/>
  <c r="I99" i="25" s="1"/>
  <c r="R98" i="25" a="1"/>
  <c r="R98" i="25" s="1"/>
  <c r="Q98" i="25" a="1"/>
  <c r="Q98" i="25" s="1"/>
  <c r="P98" i="25"/>
  <c r="P98" i="25" a="1"/>
  <c r="O98" i="25" a="1"/>
  <c r="O98" i="25" s="1"/>
  <c r="N98" i="25" a="1"/>
  <c r="N98" i="25" s="1"/>
  <c r="M98" i="25" a="1"/>
  <c r="M98" i="25" s="1"/>
  <c r="L98" i="25" a="1"/>
  <c r="L98" i="25" s="1"/>
  <c r="K98" i="25" a="1"/>
  <c r="K98" i="25" s="1"/>
  <c r="J98" i="25" a="1"/>
  <c r="J98" i="25" s="1"/>
  <c r="I98" i="25" a="1"/>
  <c r="I98" i="25" s="1"/>
  <c r="R97" i="25"/>
  <c r="R97" i="25" a="1"/>
  <c r="Q97" i="25" a="1"/>
  <c r="Q97" i="25" s="1"/>
  <c r="P97" i="25" a="1"/>
  <c r="P97" i="25" s="1"/>
  <c r="O97" i="25" a="1"/>
  <c r="O97" i="25" s="1"/>
  <c r="N97" i="25" a="1"/>
  <c r="N97" i="25" s="1"/>
  <c r="M97" i="25" a="1"/>
  <c r="M97" i="25" s="1"/>
  <c r="L97" i="25" a="1"/>
  <c r="L97" i="25" s="1"/>
  <c r="K97" i="25" a="1"/>
  <c r="K97" i="25" s="1"/>
  <c r="J97" i="25" a="1"/>
  <c r="J97" i="25" s="1"/>
  <c r="I97" i="25" a="1"/>
  <c r="I97" i="25" s="1"/>
  <c r="R88" i="25"/>
  <c r="Q88" i="25"/>
  <c r="P88" i="25"/>
  <c r="O88" i="25"/>
  <c r="N88" i="25"/>
  <c r="M88" i="25"/>
  <c r="L88" i="25"/>
  <c r="K88" i="25"/>
  <c r="J88" i="25"/>
  <c r="I88" i="25"/>
  <c r="R87" i="25" a="1"/>
  <c r="R87" i="25" s="1"/>
  <c r="Q87" i="25" a="1"/>
  <c r="Q87" i="25" s="1"/>
  <c r="P87" i="25" a="1"/>
  <c r="P87" i="25" s="1"/>
  <c r="O87" i="25" a="1"/>
  <c r="O87" i="25" s="1"/>
  <c r="N87" i="25" a="1"/>
  <c r="N87" i="25" s="1"/>
  <c r="M87" i="25" a="1"/>
  <c r="M87" i="25" s="1"/>
  <c r="L87" i="25" a="1"/>
  <c r="L87" i="25" s="1"/>
  <c r="K87" i="25" a="1"/>
  <c r="K87" i="25" s="1"/>
  <c r="J87" i="25" a="1"/>
  <c r="J87" i="25" s="1"/>
  <c r="I87" i="25" a="1"/>
  <c r="I87" i="25" s="1"/>
  <c r="R86" i="25" a="1"/>
  <c r="R86" i="25" s="1"/>
  <c r="Q86" i="25" a="1"/>
  <c r="Q86" i="25" s="1"/>
  <c r="P86" i="25" a="1"/>
  <c r="P86" i="25" s="1"/>
  <c r="O86" i="25" a="1"/>
  <c r="O86" i="25" s="1"/>
  <c r="N86" i="25" a="1"/>
  <c r="N86" i="25" s="1"/>
  <c r="M86" i="25" a="1"/>
  <c r="M86" i="25" s="1"/>
  <c r="L86" i="25" a="1"/>
  <c r="L86" i="25" s="1"/>
  <c r="K86" i="25" a="1"/>
  <c r="K86" i="25" s="1"/>
  <c r="J86" i="25" a="1"/>
  <c r="J86" i="25" s="1"/>
  <c r="I86" i="25" a="1"/>
  <c r="I86" i="25" s="1"/>
  <c r="R85" i="25" a="1"/>
  <c r="R85" i="25" s="1"/>
  <c r="Q85" i="25" a="1"/>
  <c r="Q85" i="25" s="1"/>
  <c r="P85" i="25" a="1"/>
  <c r="P85" i="25" s="1"/>
  <c r="O85" i="25" a="1"/>
  <c r="O85" i="25" s="1"/>
  <c r="N85" i="25" a="1"/>
  <c r="N85" i="25" s="1"/>
  <c r="M85" i="25" a="1"/>
  <c r="M85" i="25" s="1"/>
  <c r="L85" i="25" a="1"/>
  <c r="L85" i="25" s="1"/>
  <c r="K85" i="25" a="1"/>
  <c r="K85" i="25" s="1"/>
  <c r="J85" i="25" a="1"/>
  <c r="J85" i="25" s="1"/>
  <c r="I85" i="25" a="1"/>
  <c r="I85" i="25" s="1"/>
  <c r="R76" i="25"/>
  <c r="Q76" i="25"/>
  <c r="P76" i="25"/>
  <c r="O76" i="25"/>
  <c r="N76" i="25"/>
  <c r="M76" i="25"/>
  <c r="L76" i="25"/>
  <c r="K76" i="25"/>
  <c r="J76" i="25"/>
  <c r="I76" i="25"/>
  <c r="R75" i="25" a="1"/>
  <c r="R75" i="25" s="1"/>
  <c r="Q75" i="25" a="1"/>
  <c r="Q75" i="25" s="1"/>
  <c r="P75" i="25" a="1"/>
  <c r="P75" i="25" s="1"/>
  <c r="O75" i="25" a="1"/>
  <c r="O75" i="25" s="1"/>
  <c r="N75" i="25" a="1"/>
  <c r="N75" i="25" s="1"/>
  <c r="M75" i="25" a="1"/>
  <c r="M75" i="25" s="1"/>
  <c r="L75" i="25" a="1"/>
  <c r="L75" i="25" s="1"/>
  <c r="K75" i="25" a="1"/>
  <c r="K75" i="25" s="1"/>
  <c r="J75" i="25" a="1"/>
  <c r="J75" i="25" s="1"/>
  <c r="I75" i="25" a="1"/>
  <c r="I75" i="25" s="1"/>
  <c r="R74" i="25" a="1"/>
  <c r="R74" i="25" s="1"/>
  <c r="Q74" i="25" a="1"/>
  <c r="Q74" i="25" s="1"/>
  <c r="P74" i="25" a="1"/>
  <c r="P74" i="25" s="1"/>
  <c r="O74" i="25" a="1"/>
  <c r="O74" i="25" s="1"/>
  <c r="N74" i="25" a="1"/>
  <c r="N74" i="25" s="1"/>
  <c r="M74" i="25" a="1"/>
  <c r="M74" i="25" s="1"/>
  <c r="L74" i="25" a="1"/>
  <c r="L74" i="25" s="1"/>
  <c r="K74" i="25" a="1"/>
  <c r="K74" i="25" s="1"/>
  <c r="J74" i="25" a="1"/>
  <c r="J74" i="25" s="1"/>
  <c r="I74" i="25" a="1"/>
  <c r="I74" i="25" s="1"/>
  <c r="R73" i="25" a="1"/>
  <c r="R73" i="25" s="1"/>
  <c r="Q73" i="25" a="1"/>
  <c r="Q73" i="25" s="1"/>
  <c r="P73" i="25" a="1"/>
  <c r="P73" i="25" s="1"/>
  <c r="O73" i="25" a="1"/>
  <c r="O73" i="25" s="1"/>
  <c r="N73" i="25" a="1"/>
  <c r="N73" i="25" s="1"/>
  <c r="M73" i="25" a="1"/>
  <c r="M73" i="25" s="1"/>
  <c r="L73" i="25" a="1"/>
  <c r="L73" i="25" s="1"/>
  <c r="K73" i="25" a="1"/>
  <c r="K73" i="25" s="1"/>
  <c r="J73" i="25" a="1"/>
  <c r="J73" i="25" s="1"/>
  <c r="I73" i="25" a="1"/>
  <c r="I73" i="25" s="1"/>
  <c r="R64" i="25"/>
  <c r="Q64" i="25"/>
  <c r="P64" i="25"/>
  <c r="O64" i="25"/>
  <c r="N64" i="25"/>
  <c r="M64" i="25"/>
  <c r="L64" i="25"/>
  <c r="K64" i="25"/>
  <c r="J64" i="25"/>
  <c r="I64" i="25"/>
  <c r="R63" i="25" a="1"/>
  <c r="R63" i="25" s="1"/>
  <c r="Q63" i="25" a="1"/>
  <c r="Q63" i="25" s="1"/>
  <c r="P63" i="25" a="1"/>
  <c r="P63" i="25" s="1"/>
  <c r="O63" i="25" a="1"/>
  <c r="O63" i="25" s="1"/>
  <c r="N63" i="25"/>
  <c r="N63" i="25" a="1"/>
  <c r="M63" i="25" a="1"/>
  <c r="M63" i="25" s="1"/>
  <c r="L63" i="25" a="1"/>
  <c r="L63" i="25" s="1"/>
  <c r="K63" i="25" a="1"/>
  <c r="K63" i="25" s="1"/>
  <c r="J63" i="25" a="1"/>
  <c r="J63" i="25" s="1"/>
  <c r="I63" i="25" a="1"/>
  <c r="I63" i="25" s="1"/>
  <c r="R62" i="25" a="1"/>
  <c r="R62" i="25" s="1"/>
  <c r="Q62" i="25" a="1"/>
  <c r="Q62" i="25" s="1"/>
  <c r="P62" i="25" a="1"/>
  <c r="P62" i="25" s="1"/>
  <c r="O62" i="25" a="1"/>
  <c r="O62" i="25" s="1"/>
  <c r="N62" i="25" a="1"/>
  <c r="N62" i="25" s="1"/>
  <c r="M62" i="25" a="1"/>
  <c r="M62" i="25" s="1"/>
  <c r="L62" i="25" a="1"/>
  <c r="L62" i="25" s="1"/>
  <c r="K62" i="25" a="1"/>
  <c r="K62" i="25" s="1"/>
  <c r="J62" i="25" a="1"/>
  <c r="J62" i="25" s="1"/>
  <c r="I62" i="25" a="1"/>
  <c r="I62" i="25" s="1"/>
  <c r="R61" i="25" a="1"/>
  <c r="R61" i="25" s="1"/>
  <c r="Q61" i="25" a="1"/>
  <c r="Q61" i="25" s="1"/>
  <c r="P61" i="25" a="1"/>
  <c r="P61" i="25" s="1"/>
  <c r="O61" i="25" a="1"/>
  <c r="O61" i="25" s="1"/>
  <c r="N61" i="25" a="1"/>
  <c r="N61" i="25" s="1"/>
  <c r="M61" i="25" a="1"/>
  <c r="M61" i="25" s="1"/>
  <c r="L61" i="25" a="1"/>
  <c r="L61" i="25" s="1"/>
  <c r="K61" i="25" a="1"/>
  <c r="K61" i="25" s="1"/>
  <c r="J61" i="25" a="1"/>
  <c r="J61" i="25" s="1"/>
  <c r="I61" i="25" a="1"/>
  <c r="I61" i="25" s="1"/>
  <c r="R52" i="25"/>
  <c r="Q52" i="25"/>
  <c r="P52" i="25"/>
  <c r="O52" i="25"/>
  <c r="N52" i="25"/>
  <c r="M52" i="25"/>
  <c r="L52" i="25"/>
  <c r="K52" i="25"/>
  <c r="J52" i="25"/>
  <c r="I52" i="25"/>
  <c r="R51" i="25" a="1"/>
  <c r="R51" i="25" s="1"/>
  <c r="Q51" i="25" a="1"/>
  <c r="Q51" i="25" s="1"/>
  <c r="P51" i="25" a="1"/>
  <c r="P51" i="25" s="1"/>
  <c r="O51" i="25" a="1"/>
  <c r="O51" i="25" s="1"/>
  <c r="N51" i="25" a="1"/>
  <c r="N51" i="25" s="1"/>
  <c r="M51" i="25" a="1"/>
  <c r="M51" i="25" s="1"/>
  <c r="L51" i="25" a="1"/>
  <c r="L51" i="25" s="1"/>
  <c r="K51" i="25" a="1"/>
  <c r="K51" i="25" s="1"/>
  <c r="J51" i="25" a="1"/>
  <c r="J51" i="25" s="1"/>
  <c r="I51" i="25" a="1"/>
  <c r="I51" i="25" s="1"/>
  <c r="R50" i="25" a="1"/>
  <c r="R50" i="25" s="1"/>
  <c r="Q50" i="25" a="1"/>
  <c r="Q50" i="25" s="1"/>
  <c r="P50" i="25" a="1"/>
  <c r="P50" i="25" s="1"/>
  <c r="O50" i="25" a="1"/>
  <c r="O50" i="25" s="1"/>
  <c r="N50" i="25" a="1"/>
  <c r="N50" i="25" s="1"/>
  <c r="M50" i="25" a="1"/>
  <c r="M50" i="25" s="1"/>
  <c r="L50" i="25" a="1"/>
  <c r="L50" i="25" s="1"/>
  <c r="K50" i="25" a="1"/>
  <c r="K50" i="25" s="1"/>
  <c r="J50" i="25" a="1"/>
  <c r="J50" i="25" s="1"/>
  <c r="I50" i="25" a="1"/>
  <c r="I50" i="25" s="1"/>
  <c r="R49" i="25" a="1"/>
  <c r="R49" i="25" s="1"/>
  <c r="Q49" i="25" a="1"/>
  <c r="Q49" i="25" s="1"/>
  <c r="P49" i="25" a="1"/>
  <c r="P49" i="25" s="1"/>
  <c r="O49" i="25" a="1"/>
  <c r="O49" i="25" s="1"/>
  <c r="N49" i="25" a="1"/>
  <c r="N49" i="25" s="1"/>
  <c r="M49" i="25" a="1"/>
  <c r="M49" i="25" s="1"/>
  <c r="L49" i="25" a="1"/>
  <c r="L49" i="25" s="1"/>
  <c r="K49" i="25" a="1"/>
  <c r="K49" i="25" s="1"/>
  <c r="J49" i="25" a="1"/>
  <c r="J49" i="25" s="1"/>
  <c r="I49" i="25" a="1"/>
  <c r="I49" i="25" s="1"/>
  <c r="R148" i="24"/>
  <c r="Q148" i="24"/>
  <c r="P148" i="24"/>
  <c r="O148" i="24"/>
  <c r="N148" i="24"/>
  <c r="M148" i="24"/>
  <c r="L148" i="24"/>
  <c r="K148" i="24"/>
  <c r="J148" i="24"/>
  <c r="I148" i="24"/>
  <c r="R147" i="24" a="1"/>
  <c r="R147" i="24" s="1"/>
  <c r="Q147" i="24" a="1"/>
  <c r="Q147" i="24" s="1"/>
  <c r="P147" i="24" a="1"/>
  <c r="P147" i="24" s="1"/>
  <c r="O147" i="24" a="1"/>
  <c r="O147" i="24" s="1"/>
  <c r="N147" i="24" a="1"/>
  <c r="N147" i="24" s="1"/>
  <c r="M147" i="24" a="1"/>
  <c r="M147" i="24" s="1"/>
  <c r="L147" i="24" a="1"/>
  <c r="L147" i="24" s="1"/>
  <c r="K147" i="24" a="1"/>
  <c r="K147" i="24" s="1"/>
  <c r="J147" i="24" a="1"/>
  <c r="J147" i="24" s="1"/>
  <c r="I147" i="24" a="1"/>
  <c r="I147" i="24" s="1"/>
  <c r="R146" i="24" a="1"/>
  <c r="R146" i="24" s="1"/>
  <c r="Q146" i="24" a="1"/>
  <c r="Q146" i="24" s="1"/>
  <c r="P146" i="24" a="1"/>
  <c r="P146" i="24" s="1"/>
  <c r="O146" i="24" a="1"/>
  <c r="O146" i="24" s="1"/>
  <c r="N146" i="24" a="1"/>
  <c r="N146" i="24" s="1"/>
  <c r="M146" i="24" a="1"/>
  <c r="M146" i="24" s="1"/>
  <c r="L146" i="24" a="1"/>
  <c r="L146" i="24" s="1"/>
  <c r="K146" i="24" a="1"/>
  <c r="K146" i="24" s="1"/>
  <c r="J146" i="24" a="1"/>
  <c r="J146" i="24" s="1"/>
  <c r="I146" i="24" a="1"/>
  <c r="I146" i="24" s="1"/>
  <c r="R145" i="24" a="1"/>
  <c r="R145" i="24" s="1"/>
  <c r="Q145" i="24" a="1"/>
  <c r="Q145" i="24" s="1"/>
  <c r="P145" i="24" a="1"/>
  <c r="P145" i="24" s="1"/>
  <c r="O145" i="24" a="1"/>
  <c r="O145" i="24" s="1"/>
  <c r="N145" i="24" a="1"/>
  <c r="N145" i="24" s="1"/>
  <c r="M145" i="24" a="1"/>
  <c r="M145" i="24" s="1"/>
  <c r="L145" i="24" a="1"/>
  <c r="L145" i="24" s="1"/>
  <c r="K145" i="24" a="1"/>
  <c r="K145" i="24" s="1"/>
  <c r="J145" i="24" a="1"/>
  <c r="J145" i="24" s="1"/>
  <c r="I145" i="24" a="1"/>
  <c r="I145" i="24" s="1"/>
  <c r="R136" i="24"/>
  <c r="Q136" i="24"/>
  <c r="P136" i="24"/>
  <c r="O136" i="24"/>
  <c r="N136" i="24"/>
  <c r="M136" i="24"/>
  <c r="L136" i="24"/>
  <c r="K136" i="24"/>
  <c r="J136" i="24"/>
  <c r="I136" i="24"/>
  <c r="R135" i="24" a="1"/>
  <c r="R135" i="24" s="1"/>
  <c r="Q135" i="24" a="1"/>
  <c r="Q135" i="24" s="1"/>
  <c r="P135" i="24" a="1"/>
  <c r="P135" i="24" s="1"/>
  <c r="O135" i="24" a="1"/>
  <c r="O135" i="24" s="1"/>
  <c r="N135" i="24" a="1"/>
  <c r="N135" i="24" s="1"/>
  <c r="M135" i="24" a="1"/>
  <c r="M135" i="24" s="1"/>
  <c r="L135" i="24" a="1"/>
  <c r="L135" i="24" s="1"/>
  <c r="K135" i="24" a="1"/>
  <c r="K135" i="24" s="1"/>
  <c r="J135" i="24" a="1"/>
  <c r="J135" i="24" s="1"/>
  <c r="I135" i="24" a="1"/>
  <c r="I135" i="24" s="1"/>
  <c r="R134" i="24" a="1"/>
  <c r="R134" i="24" s="1"/>
  <c r="Q134" i="24" a="1"/>
  <c r="Q134" i="24" s="1"/>
  <c r="P134" i="24" a="1"/>
  <c r="P134" i="24" s="1"/>
  <c r="O134" i="24" a="1"/>
  <c r="O134" i="24" s="1"/>
  <c r="N134" i="24" a="1"/>
  <c r="N134" i="24" s="1"/>
  <c r="M134" i="24" a="1"/>
  <c r="M134" i="24" s="1"/>
  <c r="L134" i="24" a="1"/>
  <c r="L134" i="24" s="1"/>
  <c r="K134" i="24" a="1"/>
  <c r="K134" i="24" s="1"/>
  <c r="J134" i="24" a="1"/>
  <c r="J134" i="24" s="1"/>
  <c r="I134" i="24" a="1"/>
  <c r="I134" i="24" s="1"/>
  <c r="R133" i="24" a="1"/>
  <c r="R133" i="24" s="1"/>
  <c r="Q133" i="24" a="1"/>
  <c r="Q133" i="24" s="1"/>
  <c r="P133" i="24" a="1"/>
  <c r="P133" i="24" s="1"/>
  <c r="O133" i="24" a="1"/>
  <c r="O133" i="24" s="1"/>
  <c r="N133" i="24" a="1"/>
  <c r="N133" i="24" s="1"/>
  <c r="M133" i="24" a="1"/>
  <c r="M133" i="24" s="1"/>
  <c r="L133" i="24" a="1"/>
  <c r="L133" i="24" s="1"/>
  <c r="K133" i="24" a="1"/>
  <c r="K133" i="24" s="1"/>
  <c r="J133" i="24" a="1"/>
  <c r="J133" i="24" s="1"/>
  <c r="I133" i="24" a="1"/>
  <c r="I133" i="24" s="1"/>
  <c r="R124" i="24"/>
  <c r="Q124" i="24"/>
  <c r="P124" i="24"/>
  <c r="O124" i="24"/>
  <c r="N124" i="24"/>
  <c r="M124" i="24"/>
  <c r="L124" i="24"/>
  <c r="K124" i="24"/>
  <c r="J124" i="24"/>
  <c r="I124" i="24"/>
  <c r="R123" i="24" a="1"/>
  <c r="R123" i="24" s="1"/>
  <c r="Q123" i="24" a="1"/>
  <c r="Q123" i="24" s="1"/>
  <c r="P123" i="24" a="1"/>
  <c r="P123" i="24" s="1"/>
  <c r="O123" i="24" a="1"/>
  <c r="O123" i="24" s="1"/>
  <c r="N123" i="24" a="1"/>
  <c r="N123" i="24" s="1"/>
  <c r="M123" i="24" a="1"/>
  <c r="M123" i="24" s="1"/>
  <c r="L123" i="24" a="1"/>
  <c r="L123" i="24" s="1"/>
  <c r="K123" i="24" a="1"/>
  <c r="K123" i="24" s="1"/>
  <c r="J123" i="24" a="1"/>
  <c r="J123" i="24" s="1"/>
  <c r="I123" i="24" a="1"/>
  <c r="I123" i="24" s="1"/>
  <c r="R122" i="24" a="1"/>
  <c r="R122" i="24" s="1"/>
  <c r="Q122" i="24" a="1"/>
  <c r="Q122" i="24" s="1"/>
  <c r="P122" i="24" a="1"/>
  <c r="P122" i="24" s="1"/>
  <c r="O122" i="24" a="1"/>
  <c r="O122" i="24" s="1"/>
  <c r="N122" i="24" a="1"/>
  <c r="N122" i="24" s="1"/>
  <c r="M122" i="24" a="1"/>
  <c r="M122" i="24" s="1"/>
  <c r="L122" i="24" a="1"/>
  <c r="L122" i="24" s="1"/>
  <c r="K122" i="24" a="1"/>
  <c r="K122" i="24" s="1"/>
  <c r="J122" i="24" a="1"/>
  <c r="J122" i="24" s="1"/>
  <c r="I122" i="24" a="1"/>
  <c r="I122" i="24" s="1"/>
  <c r="R121" i="24"/>
  <c r="R121" i="24" a="1"/>
  <c r="Q121" i="24" a="1"/>
  <c r="Q121" i="24" s="1"/>
  <c r="P121" i="24" a="1"/>
  <c r="P121" i="24" s="1"/>
  <c r="O121" i="24" a="1"/>
  <c r="O121" i="24" s="1"/>
  <c r="N121" i="24"/>
  <c r="N121" i="24" a="1"/>
  <c r="M121" i="24" a="1"/>
  <c r="M121" i="24" s="1"/>
  <c r="L121" i="24" a="1"/>
  <c r="L121" i="24" s="1"/>
  <c r="K121" i="24" a="1"/>
  <c r="K121" i="24" s="1"/>
  <c r="J121" i="24" a="1"/>
  <c r="J121" i="24" s="1"/>
  <c r="I121" i="24" a="1"/>
  <c r="I121" i="24" s="1"/>
  <c r="R112" i="24"/>
  <c r="Q112" i="24"/>
  <c r="P112" i="24"/>
  <c r="O112" i="24"/>
  <c r="N112" i="24"/>
  <c r="M112" i="24"/>
  <c r="L112" i="24"/>
  <c r="K112" i="24"/>
  <c r="J112" i="24"/>
  <c r="I112" i="24"/>
  <c r="R111" i="24" a="1"/>
  <c r="R111" i="24" s="1"/>
  <c r="Q111" i="24" a="1"/>
  <c r="Q111" i="24" s="1"/>
  <c r="P111" i="24" a="1"/>
  <c r="P111" i="24" s="1"/>
  <c r="O111" i="24" a="1"/>
  <c r="O111" i="24" s="1"/>
  <c r="N111" i="24" a="1"/>
  <c r="N111" i="24" s="1"/>
  <c r="M111" i="24" a="1"/>
  <c r="M111" i="24" s="1"/>
  <c r="L111" i="24" a="1"/>
  <c r="L111" i="24" s="1"/>
  <c r="K111" i="24" a="1"/>
  <c r="K111" i="24" s="1"/>
  <c r="J111" i="24"/>
  <c r="J111" i="24" a="1"/>
  <c r="I111" i="24" a="1"/>
  <c r="I111" i="24" s="1"/>
  <c r="R110" i="24" a="1"/>
  <c r="R110" i="24" s="1"/>
  <c r="Q110" i="24" a="1"/>
  <c r="Q110" i="24" s="1"/>
  <c r="P110" i="24"/>
  <c r="P110" i="24" a="1"/>
  <c r="O110" i="24" a="1"/>
  <c r="O110" i="24" s="1"/>
  <c r="N110" i="24" a="1"/>
  <c r="N110" i="24" s="1"/>
  <c r="M110" i="24" a="1"/>
  <c r="M110" i="24" s="1"/>
  <c r="L110" i="24"/>
  <c r="L110" i="24" a="1"/>
  <c r="K110" i="24" a="1"/>
  <c r="K110" i="24" s="1"/>
  <c r="J110" i="24" a="1"/>
  <c r="J110" i="24" s="1"/>
  <c r="I110" i="24" a="1"/>
  <c r="I110" i="24" s="1"/>
  <c r="R109" i="24" a="1"/>
  <c r="R109" i="24" s="1"/>
  <c r="Q109" i="24" a="1"/>
  <c r="Q109" i="24" s="1"/>
  <c r="P109" i="24" a="1"/>
  <c r="P109" i="24" s="1"/>
  <c r="O109" i="24" a="1"/>
  <c r="O109" i="24" s="1"/>
  <c r="N109" i="24" a="1"/>
  <c r="N109" i="24" s="1"/>
  <c r="M109" i="24" a="1"/>
  <c r="M109" i="24" s="1"/>
  <c r="L109" i="24" a="1"/>
  <c r="L109" i="24" s="1"/>
  <c r="K109" i="24" a="1"/>
  <c r="K109" i="24" s="1"/>
  <c r="J109" i="24" a="1"/>
  <c r="J109" i="24" s="1"/>
  <c r="I109" i="24" a="1"/>
  <c r="I109" i="24" s="1"/>
  <c r="R100" i="24"/>
  <c r="Q100" i="24"/>
  <c r="P100" i="24"/>
  <c r="O100" i="24"/>
  <c r="N100" i="24"/>
  <c r="M100" i="24"/>
  <c r="L100" i="24"/>
  <c r="K100" i="24"/>
  <c r="J100" i="24"/>
  <c r="I100" i="24"/>
  <c r="R99" i="24" a="1"/>
  <c r="R99" i="24" s="1"/>
  <c r="Q99" i="24" a="1"/>
  <c r="Q99" i="24" s="1"/>
  <c r="P99" i="24" a="1"/>
  <c r="P99" i="24" s="1"/>
  <c r="O99" i="24" a="1"/>
  <c r="O99" i="24" s="1"/>
  <c r="N99" i="24" a="1"/>
  <c r="N99" i="24" s="1"/>
  <c r="M99" i="24" a="1"/>
  <c r="M99" i="24" s="1"/>
  <c r="L99" i="24" a="1"/>
  <c r="L99" i="24" s="1"/>
  <c r="K99" i="24" a="1"/>
  <c r="K99" i="24" s="1"/>
  <c r="J99" i="24" a="1"/>
  <c r="J99" i="24" s="1"/>
  <c r="I99" i="24" a="1"/>
  <c r="I99" i="24" s="1"/>
  <c r="R98" i="24" a="1"/>
  <c r="R98" i="24" s="1"/>
  <c r="Q98" i="24" a="1"/>
  <c r="Q98" i="24" s="1"/>
  <c r="P98" i="24" a="1"/>
  <c r="P98" i="24" s="1"/>
  <c r="O98" i="24" a="1"/>
  <c r="O98" i="24" s="1"/>
  <c r="N98" i="24" a="1"/>
  <c r="N98" i="24" s="1"/>
  <c r="M98" i="24" a="1"/>
  <c r="M98" i="24" s="1"/>
  <c r="L98" i="24" a="1"/>
  <c r="L98" i="24" s="1"/>
  <c r="K98" i="24" a="1"/>
  <c r="K98" i="24" s="1"/>
  <c r="J98" i="24" a="1"/>
  <c r="J98" i="24" s="1"/>
  <c r="I98" i="24" a="1"/>
  <c r="I98" i="24" s="1"/>
  <c r="R97" i="24" a="1"/>
  <c r="R97" i="24" s="1"/>
  <c r="Q97" i="24" a="1"/>
  <c r="Q97" i="24" s="1"/>
  <c r="P97" i="24" a="1"/>
  <c r="P97" i="24" s="1"/>
  <c r="O97" i="24" a="1"/>
  <c r="O97" i="24" s="1"/>
  <c r="N97" i="24" a="1"/>
  <c r="N97" i="24" s="1"/>
  <c r="M97" i="24" a="1"/>
  <c r="M97" i="24" s="1"/>
  <c r="L97" i="24" a="1"/>
  <c r="L97" i="24" s="1"/>
  <c r="K97" i="24" a="1"/>
  <c r="K97" i="24" s="1"/>
  <c r="J97" i="24" a="1"/>
  <c r="J97" i="24" s="1"/>
  <c r="I97" i="24" a="1"/>
  <c r="I97" i="24" s="1"/>
  <c r="R88" i="24"/>
  <c r="Q88" i="24"/>
  <c r="P88" i="24"/>
  <c r="O88" i="24"/>
  <c r="N88" i="24"/>
  <c r="M88" i="24"/>
  <c r="L88" i="24"/>
  <c r="K88" i="24"/>
  <c r="J88" i="24"/>
  <c r="I88" i="24"/>
  <c r="R87" i="24"/>
  <c r="R87" i="24" a="1"/>
  <c r="Q87" i="24" a="1"/>
  <c r="Q87" i="24" s="1"/>
  <c r="P87" i="24" a="1"/>
  <c r="P87" i="24" s="1"/>
  <c r="O87" i="24" a="1"/>
  <c r="O87" i="24" s="1"/>
  <c r="N87" i="24"/>
  <c r="N87" i="24" a="1"/>
  <c r="M87" i="24" a="1"/>
  <c r="M87" i="24" s="1"/>
  <c r="L87" i="24" a="1"/>
  <c r="L87" i="24" s="1"/>
  <c r="K87" i="24" a="1"/>
  <c r="K87" i="24" s="1"/>
  <c r="J87" i="24" a="1"/>
  <c r="J87" i="24" s="1"/>
  <c r="I87" i="24" a="1"/>
  <c r="I87" i="24" s="1"/>
  <c r="R86" i="24" a="1"/>
  <c r="R86" i="24" s="1"/>
  <c r="Q86" i="24" a="1"/>
  <c r="Q86" i="24" s="1"/>
  <c r="P86" i="24" a="1"/>
  <c r="P86" i="24" s="1"/>
  <c r="O86" i="24" a="1"/>
  <c r="O86" i="24" s="1"/>
  <c r="N86" i="24" a="1"/>
  <c r="N86" i="24" s="1"/>
  <c r="M86" i="24" a="1"/>
  <c r="M86" i="24" s="1"/>
  <c r="L86" i="24" a="1"/>
  <c r="L86" i="24" s="1"/>
  <c r="K86" i="24" a="1"/>
  <c r="K86" i="24" s="1"/>
  <c r="J86" i="24" a="1"/>
  <c r="J86" i="24" s="1"/>
  <c r="I86" i="24" a="1"/>
  <c r="I86" i="24" s="1"/>
  <c r="R85" i="24" a="1"/>
  <c r="R85" i="24" s="1"/>
  <c r="Q85" i="24" a="1"/>
  <c r="Q85" i="24" s="1"/>
  <c r="P85" i="24" a="1"/>
  <c r="P85" i="24" s="1"/>
  <c r="O85" i="24" a="1"/>
  <c r="O85" i="24" s="1"/>
  <c r="N85" i="24"/>
  <c r="N85" i="24" a="1"/>
  <c r="M85" i="24" a="1"/>
  <c r="M85" i="24" s="1"/>
  <c r="L85" i="24" a="1"/>
  <c r="L85" i="24" s="1"/>
  <c r="K85" i="24" a="1"/>
  <c r="K85" i="24" s="1"/>
  <c r="J85" i="24"/>
  <c r="J85" i="24" a="1"/>
  <c r="I85" i="24" a="1"/>
  <c r="I85" i="24" s="1"/>
  <c r="R76" i="24"/>
  <c r="Q76" i="24"/>
  <c r="P76" i="24"/>
  <c r="O76" i="24"/>
  <c r="N76" i="24"/>
  <c r="M76" i="24"/>
  <c r="L76" i="24"/>
  <c r="K76" i="24"/>
  <c r="J76" i="24"/>
  <c r="I76" i="24"/>
  <c r="R75" i="24" a="1"/>
  <c r="R75" i="24" s="1"/>
  <c r="Q75" i="24" a="1"/>
  <c r="Q75" i="24" s="1"/>
  <c r="P75" i="24" a="1"/>
  <c r="P75" i="24" s="1"/>
  <c r="O75" i="24" a="1"/>
  <c r="O75" i="24" s="1"/>
  <c r="N75" i="24" a="1"/>
  <c r="N75" i="24" s="1"/>
  <c r="M75" i="24" a="1"/>
  <c r="M75" i="24" s="1"/>
  <c r="L75" i="24" a="1"/>
  <c r="L75" i="24" s="1"/>
  <c r="K75" i="24" a="1"/>
  <c r="K75" i="24" s="1"/>
  <c r="J75" i="24" a="1"/>
  <c r="J75" i="24" s="1"/>
  <c r="I75" i="24" a="1"/>
  <c r="I75" i="24" s="1"/>
  <c r="R74" i="24" a="1"/>
  <c r="R74" i="24" s="1"/>
  <c r="Q74" i="24" a="1"/>
  <c r="Q74" i="24" s="1"/>
  <c r="P74" i="24" a="1"/>
  <c r="P74" i="24" s="1"/>
  <c r="O74" i="24" a="1"/>
  <c r="O74" i="24" s="1"/>
  <c r="N74" i="24" a="1"/>
  <c r="N74" i="24" s="1"/>
  <c r="M74" i="24" a="1"/>
  <c r="M74" i="24" s="1"/>
  <c r="L74" i="24" a="1"/>
  <c r="L74" i="24" s="1"/>
  <c r="K74" i="24" a="1"/>
  <c r="K74" i="24" s="1"/>
  <c r="J74" i="24" a="1"/>
  <c r="J74" i="24" s="1"/>
  <c r="I74" i="24" a="1"/>
  <c r="I74" i="24" s="1"/>
  <c r="R73" i="24" a="1"/>
  <c r="R73" i="24" s="1"/>
  <c r="Q73" i="24" a="1"/>
  <c r="Q73" i="24" s="1"/>
  <c r="P73" i="24" a="1"/>
  <c r="P73" i="24" s="1"/>
  <c r="O73" i="24" a="1"/>
  <c r="O73" i="24" s="1"/>
  <c r="N73" i="24" a="1"/>
  <c r="N73" i="24" s="1"/>
  <c r="M73" i="24" a="1"/>
  <c r="M73" i="24" s="1"/>
  <c r="L73" i="24" a="1"/>
  <c r="L73" i="24" s="1"/>
  <c r="K73" i="24" a="1"/>
  <c r="K73" i="24" s="1"/>
  <c r="J73" i="24" a="1"/>
  <c r="J73" i="24" s="1"/>
  <c r="I73" i="24" a="1"/>
  <c r="I73" i="24" s="1"/>
  <c r="R64" i="24"/>
  <c r="Q64" i="24"/>
  <c r="P64" i="24"/>
  <c r="O64" i="24"/>
  <c r="N64" i="24"/>
  <c r="M64" i="24"/>
  <c r="L64" i="24"/>
  <c r="K64" i="24"/>
  <c r="J64" i="24"/>
  <c r="I64" i="24"/>
  <c r="R63" i="24"/>
  <c r="R63" i="24" a="1"/>
  <c r="Q63" i="24" a="1"/>
  <c r="Q63" i="24" s="1"/>
  <c r="P63" i="24" a="1"/>
  <c r="P63" i="24" s="1"/>
  <c r="O63" i="24" a="1"/>
  <c r="O63" i="24" s="1"/>
  <c r="N63" i="24"/>
  <c r="N63" i="24" a="1"/>
  <c r="M63" i="24" a="1"/>
  <c r="M63" i="24" s="1"/>
  <c r="L63" i="24" a="1"/>
  <c r="L63" i="24" s="1"/>
  <c r="K63" i="24" a="1"/>
  <c r="K63" i="24" s="1"/>
  <c r="J63" i="24"/>
  <c r="J63" i="24" a="1"/>
  <c r="I63" i="24" a="1"/>
  <c r="I63" i="24" s="1"/>
  <c r="R62" i="24" a="1"/>
  <c r="R62" i="24" s="1"/>
  <c r="Q62" i="24" a="1"/>
  <c r="Q62" i="24" s="1"/>
  <c r="P62" i="24" a="1"/>
  <c r="P62" i="24" s="1"/>
  <c r="O62" i="24" a="1"/>
  <c r="O62" i="24" s="1"/>
  <c r="N62" i="24" a="1"/>
  <c r="N62" i="24" s="1"/>
  <c r="M62" i="24" a="1"/>
  <c r="M62" i="24" s="1"/>
  <c r="L62" i="24" a="1"/>
  <c r="L62" i="24" s="1"/>
  <c r="K62" i="24" a="1"/>
  <c r="K62" i="24" s="1"/>
  <c r="J62" i="24" a="1"/>
  <c r="J62" i="24" s="1"/>
  <c r="I62" i="24" a="1"/>
  <c r="I62" i="24" s="1"/>
  <c r="R61" i="24" a="1"/>
  <c r="R61" i="24" s="1"/>
  <c r="Q61" i="24" a="1"/>
  <c r="Q61" i="24" s="1"/>
  <c r="P61" i="24" a="1"/>
  <c r="P61" i="24" s="1"/>
  <c r="O61" i="24" a="1"/>
  <c r="O61" i="24" s="1"/>
  <c r="N61" i="24" a="1"/>
  <c r="N61" i="24" s="1"/>
  <c r="M61" i="24" a="1"/>
  <c r="M61" i="24" s="1"/>
  <c r="L61" i="24" a="1"/>
  <c r="L61" i="24" s="1"/>
  <c r="K61" i="24" a="1"/>
  <c r="K61" i="24" s="1"/>
  <c r="J61" i="24" a="1"/>
  <c r="J61" i="24" s="1"/>
  <c r="I61" i="24" a="1"/>
  <c r="I61" i="24" s="1"/>
  <c r="R52" i="24"/>
  <c r="Q52" i="24"/>
  <c r="P52" i="24"/>
  <c r="O52" i="24"/>
  <c r="N52" i="24"/>
  <c r="M52" i="24"/>
  <c r="L52" i="24"/>
  <c r="K52" i="24"/>
  <c r="J52" i="24"/>
  <c r="I52" i="24"/>
  <c r="R51" i="24"/>
  <c r="R51" i="24" a="1"/>
  <c r="Q51" i="24" a="1"/>
  <c r="Q51" i="24" s="1"/>
  <c r="P51" i="24" a="1"/>
  <c r="P51" i="24" s="1"/>
  <c r="O51" i="24"/>
  <c r="O51" i="24" a="1"/>
  <c r="N51" i="24" a="1"/>
  <c r="N51" i="24" s="1"/>
  <c r="M51" i="24" a="1"/>
  <c r="M51" i="24" s="1"/>
  <c r="L51" i="24" a="1"/>
  <c r="L51" i="24" s="1"/>
  <c r="K51" i="24"/>
  <c r="K51" i="24" a="1"/>
  <c r="J51" i="24" a="1"/>
  <c r="J51" i="24" s="1"/>
  <c r="I51" i="24" a="1"/>
  <c r="I51" i="24" s="1"/>
  <c r="R50" i="24" a="1"/>
  <c r="R50" i="24" s="1"/>
  <c r="Q50" i="24"/>
  <c r="Q50" i="24" a="1"/>
  <c r="P50" i="24"/>
  <c r="P50" i="24" a="1"/>
  <c r="O50" i="24" a="1"/>
  <c r="O50" i="24" s="1"/>
  <c r="N50" i="24" a="1"/>
  <c r="N50" i="24" s="1"/>
  <c r="M50" i="24" a="1"/>
  <c r="M50" i="24" s="1"/>
  <c r="L50" i="24"/>
  <c r="L50" i="24" a="1"/>
  <c r="K50" i="24" a="1"/>
  <c r="K50" i="24" s="1"/>
  <c r="J50" i="24" a="1"/>
  <c r="J50" i="24" s="1"/>
  <c r="I50" i="24" a="1"/>
  <c r="I50" i="24" s="1"/>
  <c r="R49" i="24" a="1"/>
  <c r="R49" i="24" s="1"/>
  <c r="Q49" i="24" a="1"/>
  <c r="Q49" i="24" s="1"/>
  <c r="P49" i="24" a="1"/>
  <c r="P49" i="24" s="1"/>
  <c r="O49" i="24" a="1"/>
  <c r="O49" i="24" s="1"/>
  <c r="N49" i="24"/>
  <c r="N49" i="24" a="1"/>
  <c r="M49" i="24" a="1"/>
  <c r="M49" i="24" s="1"/>
  <c r="L49" i="24" a="1"/>
  <c r="L49" i="24" s="1"/>
  <c r="K49" i="24" a="1"/>
  <c r="K49" i="24" s="1"/>
  <c r="J49" i="24" a="1"/>
  <c r="J49" i="24" s="1"/>
  <c r="I49" i="24" a="1"/>
  <c r="I49" i="24" s="1"/>
  <c r="R148" i="23"/>
  <c r="Q148" i="23"/>
  <c r="P148" i="23"/>
  <c r="O148" i="23"/>
  <c r="N148" i="23"/>
  <c r="M148" i="23"/>
  <c r="L148" i="23"/>
  <c r="K148" i="23"/>
  <c r="J148" i="23"/>
  <c r="I148" i="23"/>
  <c r="R147" i="23" a="1"/>
  <c r="R147" i="23" s="1"/>
  <c r="Q147" i="23" a="1"/>
  <c r="Q147" i="23" s="1"/>
  <c r="P147" i="23" a="1"/>
  <c r="P147" i="23" s="1"/>
  <c r="O147" i="23" a="1"/>
  <c r="O147" i="23" s="1"/>
  <c r="N147" i="23" a="1"/>
  <c r="N147" i="23" s="1"/>
  <c r="M147" i="23" a="1"/>
  <c r="M147" i="23" s="1"/>
  <c r="L147" i="23" a="1"/>
  <c r="L147" i="23" s="1"/>
  <c r="K147" i="23" a="1"/>
  <c r="K147" i="23" s="1"/>
  <c r="J147" i="23" a="1"/>
  <c r="J147" i="23" s="1"/>
  <c r="I147" i="23" a="1"/>
  <c r="I147" i="23" s="1"/>
  <c r="R146" i="23" a="1"/>
  <c r="R146" i="23" s="1"/>
  <c r="Q146" i="23" a="1"/>
  <c r="Q146" i="23" s="1"/>
  <c r="P146" i="23" a="1"/>
  <c r="P146" i="23" s="1"/>
  <c r="O146" i="23" a="1"/>
  <c r="O146" i="23" s="1"/>
  <c r="N146" i="23" a="1"/>
  <c r="N146" i="23" s="1"/>
  <c r="M146" i="23" a="1"/>
  <c r="M146" i="23" s="1"/>
  <c r="L146" i="23" a="1"/>
  <c r="L146" i="23" s="1"/>
  <c r="K146" i="23" a="1"/>
  <c r="K146" i="23" s="1"/>
  <c r="J146" i="23" a="1"/>
  <c r="J146" i="23" s="1"/>
  <c r="I146" i="23" a="1"/>
  <c r="I146" i="23" s="1"/>
  <c r="R145" i="23" a="1"/>
  <c r="R145" i="23" s="1"/>
  <c r="Q145" i="23" a="1"/>
  <c r="Q145" i="23" s="1"/>
  <c r="P145" i="23" a="1"/>
  <c r="P145" i="23" s="1"/>
  <c r="O145" i="23" a="1"/>
  <c r="O145" i="23" s="1"/>
  <c r="N145" i="23" a="1"/>
  <c r="N145" i="23" s="1"/>
  <c r="M145" i="23" a="1"/>
  <c r="M145" i="23" s="1"/>
  <c r="L145" i="23" a="1"/>
  <c r="L145" i="23" s="1"/>
  <c r="K145" i="23" a="1"/>
  <c r="K145" i="23" s="1"/>
  <c r="J145" i="23" a="1"/>
  <c r="J145" i="23" s="1"/>
  <c r="I145" i="23" a="1"/>
  <c r="I145" i="23" s="1"/>
  <c r="R136" i="23"/>
  <c r="Q136" i="23"/>
  <c r="P136" i="23"/>
  <c r="O136" i="23"/>
  <c r="N136" i="23"/>
  <c r="M136" i="23"/>
  <c r="L136" i="23"/>
  <c r="K136" i="23"/>
  <c r="J136" i="23"/>
  <c r="I136" i="23"/>
  <c r="R135" i="23" a="1"/>
  <c r="R135" i="23" s="1"/>
  <c r="Q135" i="23" a="1"/>
  <c r="Q135" i="23" s="1"/>
  <c r="P135" i="23" a="1"/>
  <c r="P135" i="23" s="1"/>
  <c r="O135" i="23" a="1"/>
  <c r="O135" i="23" s="1"/>
  <c r="N135" i="23" a="1"/>
  <c r="N135" i="23" s="1"/>
  <c r="M135" i="23" a="1"/>
  <c r="M135" i="23" s="1"/>
  <c r="L135" i="23" a="1"/>
  <c r="L135" i="23" s="1"/>
  <c r="K135" i="23" a="1"/>
  <c r="K135" i="23" s="1"/>
  <c r="J135" i="23" a="1"/>
  <c r="J135" i="23" s="1"/>
  <c r="I135" i="23" a="1"/>
  <c r="I135" i="23" s="1"/>
  <c r="R134" i="23" a="1"/>
  <c r="R134" i="23" s="1"/>
  <c r="Q134" i="23" a="1"/>
  <c r="Q134" i="23" s="1"/>
  <c r="P134" i="23" a="1"/>
  <c r="P134" i="23" s="1"/>
  <c r="O134" i="23" a="1"/>
  <c r="O134" i="23" s="1"/>
  <c r="N134" i="23" a="1"/>
  <c r="N134" i="23" s="1"/>
  <c r="M134" i="23" a="1"/>
  <c r="M134" i="23" s="1"/>
  <c r="L134" i="23" a="1"/>
  <c r="L134" i="23" s="1"/>
  <c r="K134" i="23" a="1"/>
  <c r="K134" i="23" s="1"/>
  <c r="J134" i="23" a="1"/>
  <c r="J134" i="23" s="1"/>
  <c r="I134" i="23" a="1"/>
  <c r="I134" i="23" s="1"/>
  <c r="R133" i="23" a="1"/>
  <c r="R133" i="23" s="1"/>
  <c r="Q133" i="23" a="1"/>
  <c r="Q133" i="23" s="1"/>
  <c r="P133" i="23" a="1"/>
  <c r="P133" i="23" s="1"/>
  <c r="O133" i="23" a="1"/>
  <c r="O133" i="23" s="1"/>
  <c r="N133" i="23" a="1"/>
  <c r="N133" i="23" s="1"/>
  <c r="M133" i="23" a="1"/>
  <c r="M133" i="23" s="1"/>
  <c r="L133" i="23" a="1"/>
  <c r="L133" i="23" s="1"/>
  <c r="K133" i="23" a="1"/>
  <c r="K133" i="23" s="1"/>
  <c r="J133" i="23" a="1"/>
  <c r="J133" i="23" s="1"/>
  <c r="I133" i="23" a="1"/>
  <c r="I133" i="23" s="1"/>
  <c r="R124" i="23"/>
  <c r="Q124" i="23"/>
  <c r="P124" i="23"/>
  <c r="O124" i="23"/>
  <c r="N124" i="23"/>
  <c r="M124" i="23"/>
  <c r="L124" i="23"/>
  <c r="K124" i="23"/>
  <c r="J124" i="23"/>
  <c r="I124" i="23"/>
  <c r="R123" i="23" a="1"/>
  <c r="R123" i="23" s="1"/>
  <c r="Q123" i="23" a="1"/>
  <c r="Q123" i="23" s="1"/>
  <c r="P123" i="23" a="1"/>
  <c r="P123" i="23" s="1"/>
  <c r="O123" i="23" a="1"/>
  <c r="O123" i="23" s="1"/>
  <c r="N123" i="23" a="1"/>
  <c r="N123" i="23" s="1"/>
  <c r="M123" i="23" a="1"/>
  <c r="M123" i="23" s="1"/>
  <c r="L123" i="23" a="1"/>
  <c r="L123" i="23" s="1"/>
  <c r="K123" i="23" a="1"/>
  <c r="K123" i="23" s="1"/>
  <c r="J123" i="23" a="1"/>
  <c r="J123" i="23" s="1"/>
  <c r="I123" i="23" a="1"/>
  <c r="I123" i="23" s="1"/>
  <c r="R122" i="23" a="1"/>
  <c r="R122" i="23" s="1"/>
  <c r="Q122" i="23" a="1"/>
  <c r="Q122" i="23" s="1"/>
  <c r="P122" i="23" a="1"/>
  <c r="P122" i="23" s="1"/>
  <c r="O122" i="23" a="1"/>
  <c r="O122" i="23" s="1"/>
  <c r="N122" i="23" a="1"/>
  <c r="N122" i="23" s="1"/>
  <c r="M122" i="23" a="1"/>
  <c r="M122" i="23" s="1"/>
  <c r="L122" i="23" a="1"/>
  <c r="L122" i="23" s="1"/>
  <c r="K122" i="23" a="1"/>
  <c r="K122" i="23" s="1"/>
  <c r="J122" i="23" a="1"/>
  <c r="J122" i="23" s="1"/>
  <c r="I122" i="23" a="1"/>
  <c r="I122" i="23" s="1"/>
  <c r="R121" i="23" a="1"/>
  <c r="R121" i="23" s="1"/>
  <c r="Q121" i="23" a="1"/>
  <c r="Q121" i="23" s="1"/>
  <c r="P121" i="23" a="1"/>
  <c r="P121" i="23" s="1"/>
  <c r="O121" i="23" a="1"/>
  <c r="O121" i="23" s="1"/>
  <c r="N121" i="23" a="1"/>
  <c r="N121" i="23" s="1"/>
  <c r="M121" i="23" a="1"/>
  <c r="M121" i="23" s="1"/>
  <c r="L121" i="23" a="1"/>
  <c r="L121" i="23" s="1"/>
  <c r="K121" i="23" a="1"/>
  <c r="K121" i="23" s="1"/>
  <c r="J121" i="23" a="1"/>
  <c r="J121" i="23" s="1"/>
  <c r="I121" i="23" a="1"/>
  <c r="I121" i="23" s="1"/>
  <c r="R112" i="23"/>
  <c r="Q112" i="23"/>
  <c r="P112" i="23"/>
  <c r="O112" i="23"/>
  <c r="N112" i="23"/>
  <c r="M112" i="23"/>
  <c r="L112" i="23"/>
  <c r="K112" i="23"/>
  <c r="J112" i="23"/>
  <c r="I112" i="23"/>
  <c r="R111" i="23" a="1"/>
  <c r="R111" i="23" s="1"/>
  <c r="Q111" i="23" a="1"/>
  <c r="Q111" i="23" s="1"/>
  <c r="P111" i="23" a="1"/>
  <c r="P111" i="23" s="1"/>
  <c r="O111" i="23" a="1"/>
  <c r="O111" i="23" s="1"/>
  <c r="N111" i="23" a="1"/>
  <c r="N111" i="23" s="1"/>
  <c r="M111" i="23" a="1"/>
  <c r="M111" i="23" s="1"/>
  <c r="L111" i="23" a="1"/>
  <c r="L111" i="23" s="1"/>
  <c r="K111" i="23" a="1"/>
  <c r="K111" i="23" s="1"/>
  <c r="J111" i="23" a="1"/>
  <c r="J111" i="23" s="1"/>
  <c r="I111" i="23" a="1"/>
  <c r="I111" i="23" s="1"/>
  <c r="R110" i="23" a="1"/>
  <c r="R110" i="23" s="1"/>
  <c r="Q110" i="23" a="1"/>
  <c r="Q110" i="23" s="1"/>
  <c r="P110" i="23" a="1"/>
  <c r="P110" i="23" s="1"/>
  <c r="O110" i="23" a="1"/>
  <c r="O110" i="23" s="1"/>
  <c r="N110" i="23" a="1"/>
  <c r="N110" i="23" s="1"/>
  <c r="M110" i="23" a="1"/>
  <c r="M110" i="23" s="1"/>
  <c r="L110" i="23" a="1"/>
  <c r="L110" i="23" s="1"/>
  <c r="K110" i="23" a="1"/>
  <c r="K110" i="23" s="1"/>
  <c r="J110" i="23" a="1"/>
  <c r="J110" i="23" s="1"/>
  <c r="I110" i="23" a="1"/>
  <c r="I110" i="23" s="1"/>
  <c r="R109" i="23" a="1"/>
  <c r="R109" i="23" s="1"/>
  <c r="Q109" i="23" a="1"/>
  <c r="Q109" i="23" s="1"/>
  <c r="P109" i="23" a="1"/>
  <c r="P109" i="23" s="1"/>
  <c r="O109" i="23" a="1"/>
  <c r="O109" i="23" s="1"/>
  <c r="N109" i="23" a="1"/>
  <c r="N109" i="23" s="1"/>
  <c r="M109" i="23" a="1"/>
  <c r="M109" i="23" s="1"/>
  <c r="L109" i="23" a="1"/>
  <c r="L109" i="23" s="1"/>
  <c r="K109" i="23" a="1"/>
  <c r="K109" i="23" s="1"/>
  <c r="J109" i="23" a="1"/>
  <c r="J109" i="23" s="1"/>
  <c r="I109" i="23" a="1"/>
  <c r="I109" i="23" s="1"/>
  <c r="R100" i="23"/>
  <c r="Q100" i="23"/>
  <c r="P100" i="23"/>
  <c r="O100" i="23"/>
  <c r="N100" i="23"/>
  <c r="M100" i="23"/>
  <c r="L100" i="23"/>
  <c r="K100" i="23"/>
  <c r="J100" i="23"/>
  <c r="I100" i="23"/>
  <c r="R99" i="23" a="1"/>
  <c r="R99" i="23" s="1"/>
  <c r="Q99" i="23" a="1"/>
  <c r="Q99" i="23" s="1"/>
  <c r="P99" i="23" a="1"/>
  <c r="P99" i="23" s="1"/>
  <c r="O99" i="23" a="1"/>
  <c r="O99" i="23" s="1"/>
  <c r="N99" i="23" a="1"/>
  <c r="N99" i="23" s="1"/>
  <c r="M99" i="23" a="1"/>
  <c r="M99" i="23" s="1"/>
  <c r="L99" i="23" a="1"/>
  <c r="L99" i="23" s="1"/>
  <c r="K99" i="23" a="1"/>
  <c r="K99" i="23" s="1"/>
  <c r="J99" i="23" a="1"/>
  <c r="J99" i="23" s="1"/>
  <c r="I99" i="23" a="1"/>
  <c r="I99" i="23" s="1"/>
  <c r="R98" i="23" a="1"/>
  <c r="R98" i="23" s="1"/>
  <c r="Q98" i="23" a="1"/>
  <c r="Q98" i="23" s="1"/>
  <c r="P98" i="23" a="1"/>
  <c r="P98" i="23" s="1"/>
  <c r="O98" i="23" a="1"/>
  <c r="O98" i="23" s="1"/>
  <c r="N98" i="23" a="1"/>
  <c r="N98" i="23" s="1"/>
  <c r="M98" i="23" a="1"/>
  <c r="M98" i="23" s="1"/>
  <c r="L98" i="23" a="1"/>
  <c r="L98" i="23" s="1"/>
  <c r="K98" i="23" a="1"/>
  <c r="K98" i="23" s="1"/>
  <c r="J98" i="23" a="1"/>
  <c r="J98" i="23" s="1"/>
  <c r="I98" i="23" a="1"/>
  <c r="I98" i="23" s="1"/>
  <c r="R97" i="23" a="1"/>
  <c r="R97" i="23" s="1"/>
  <c r="Q97" i="23" a="1"/>
  <c r="Q97" i="23" s="1"/>
  <c r="P97" i="23" a="1"/>
  <c r="P97" i="23" s="1"/>
  <c r="O97" i="23" a="1"/>
  <c r="O97" i="23" s="1"/>
  <c r="N97" i="23" a="1"/>
  <c r="N97" i="23" s="1"/>
  <c r="M97" i="23" a="1"/>
  <c r="M97" i="23" s="1"/>
  <c r="L97" i="23" a="1"/>
  <c r="L97" i="23" s="1"/>
  <c r="K97" i="23" a="1"/>
  <c r="K97" i="23" s="1"/>
  <c r="J97" i="23" a="1"/>
  <c r="J97" i="23" s="1"/>
  <c r="I97" i="23" a="1"/>
  <c r="I97" i="23" s="1"/>
  <c r="R88" i="23"/>
  <c r="Q88" i="23"/>
  <c r="P88" i="23"/>
  <c r="O88" i="23"/>
  <c r="N88" i="23"/>
  <c r="M88" i="23"/>
  <c r="L88" i="23"/>
  <c r="K88" i="23"/>
  <c r="J88" i="23"/>
  <c r="I88" i="23"/>
  <c r="R87" i="23" a="1"/>
  <c r="R87" i="23" s="1"/>
  <c r="Q87" i="23" a="1"/>
  <c r="Q87" i="23" s="1"/>
  <c r="P87" i="23" a="1"/>
  <c r="P87" i="23" s="1"/>
  <c r="O87" i="23" a="1"/>
  <c r="O87" i="23" s="1"/>
  <c r="N87" i="23" a="1"/>
  <c r="N87" i="23" s="1"/>
  <c r="M87" i="23" a="1"/>
  <c r="M87" i="23" s="1"/>
  <c r="L87" i="23" a="1"/>
  <c r="L87" i="23" s="1"/>
  <c r="K87" i="23" a="1"/>
  <c r="K87" i="23" s="1"/>
  <c r="J87" i="23" a="1"/>
  <c r="J87" i="23" s="1"/>
  <c r="I87" i="23" a="1"/>
  <c r="I87" i="23" s="1"/>
  <c r="R86" i="23" a="1"/>
  <c r="R86" i="23" s="1"/>
  <c r="Q86" i="23" a="1"/>
  <c r="Q86" i="23" s="1"/>
  <c r="P86" i="23" a="1"/>
  <c r="P86" i="23" s="1"/>
  <c r="O86" i="23" a="1"/>
  <c r="O86" i="23" s="1"/>
  <c r="N86" i="23" a="1"/>
  <c r="N86" i="23" s="1"/>
  <c r="M86" i="23" a="1"/>
  <c r="M86" i="23" s="1"/>
  <c r="L86" i="23" a="1"/>
  <c r="L86" i="23" s="1"/>
  <c r="K86" i="23" a="1"/>
  <c r="K86" i="23" s="1"/>
  <c r="J86" i="23" a="1"/>
  <c r="J86" i="23" s="1"/>
  <c r="I86" i="23" a="1"/>
  <c r="I86" i="23" s="1"/>
  <c r="R85" i="23" a="1"/>
  <c r="R85" i="23" s="1"/>
  <c r="Q85" i="23" a="1"/>
  <c r="Q85" i="23" s="1"/>
  <c r="P85" i="23" a="1"/>
  <c r="P85" i="23" s="1"/>
  <c r="O85" i="23" a="1"/>
  <c r="O85" i="23" s="1"/>
  <c r="N85" i="23" a="1"/>
  <c r="N85" i="23" s="1"/>
  <c r="M85" i="23" a="1"/>
  <c r="M85" i="23" s="1"/>
  <c r="L85" i="23" a="1"/>
  <c r="L85" i="23" s="1"/>
  <c r="K85" i="23" a="1"/>
  <c r="K85" i="23" s="1"/>
  <c r="J85" i="23" a="1"/>
  <c r="J85" i="23" s="1"/>
  <c r="I85" i="23" a="1"/>
  <c r="I85" i="23" s="1"/>
  <c r="R76" i="23"/>
  <c r="Q76" i="23"/>
  <c r="P76" i="23"/>
  <c r="O76" i="23"/>
  <c r="N76" i="23"/>
  <c r="M76" i="23"/>
  <c r="L76" i="23"/>
  <c r="K76" i="23"/>
  <c r="J76" i="23"/>
  <c r="I76" i="23"/>
  <c r="R75" i="23" a="1"/>
  <c r="R75" i="23" s="1"/>
  <c r="Q75" i="23" a="1"/>
  <c r="Q75" i="23" s="1"/>
  <c r="P75" i="23" a="1"/>
  <c r="P75" i="23" s="1"/>
  <c r="O75" i="23" a="1"/>
  <c r="O75" i="23" s="1"/>
  <c r="N75" i="23" a="1"/>
  <c r="N75" i="23" s="1"/>
  <c r="M75" i="23" a="1"/>
  <c r="M75" i="23" s="1"/>
  <c r="L75" i="23" a="1"/>
  <c r="L75" i="23" s="1"/>
  <c r="K75" i="23" a="1"/>
  <c r="K75" i="23" s="1"/>
  <c r="J75" i="23" a="1"/>
  <c r="J75" i="23" s="1"/>
  <c r="I75" i="23" a="1"/>
  <c r="I75" i="23" s="1"/>
  <c r="R74" i="23" a="1"/>
  <c r="R74" i="23" s="1"/>
  <c r="Q74" i="23" a="1"/>
  <c r="Q74" i="23" s="1"/>
  <c r="P74" i="23" a="1"/>
  <c r="P74" i="23" s="1"/>
  <c r="O74" i="23" a="1"/>
  <c r="O74" i="23" s="1"/>
  <c r="N74" i="23" a="1"/>
  <c r="N74" i="23" s="1"/>
  <c r="M74" i="23" a="1"/>
  <c r="M74" i="23" s="1"/>
  <c r="L74" i="23" a="1"/>
  <c r="L74" i="23" s="1"/>
  <c r="K74" i="23" a="1"/>
  <c r="K74" i="23" s="1"/>
  <c r="J74" i="23" a="1"/>
  <c r="J74" i="23" s="1"/>
  <c r="I74" i="23" a="1"/>
  <c r="I74" i="23" s="1"/>
  <c r="R73" i="23" a="1"/>
  <c r="R73" i="23" s="1"/>
  <c r="Q73" i="23" a="1"/>
  <c r="Q73" i="23" s="1"/>
  <c r="P73" i="23" a="1"/>
  <c r="P73" i="23" s="1"/>
  <c r="O73" i="23" a="1"/>
  <c r="O73" i="23" s="1"/>
  <c r="N73" i="23" a="1"/>
  <c r="N73" i="23" s="1"/>
  <c r="M73" i="23" a="1"/>
  <c r="M73" i="23" s="1"/>
  <c r="L73" i="23" a="1"/>
  <c r="L73" i="23" s="1"/>
  <c r="K73" i="23" a="1"/>
  <c r="K73" i="23" s="1"/>
  <c r="J73" i="23" a="1"/>
  <c r="J73" i="23" s="1"/>
  <c r="I73" i="23" a="1"/>
  <c r="I73" i="23" s="1"/>
  <c r="R64" i="23"/>
  <c r="Q64" i="23"/>
  <c r="P64" i="23"/>
  <c r="O64" i="23"/>
  <c r="N64" i="23"/>
  <c r="M64" i="23"/>
  <c r="L64" i="23"/>
  <c r="K64" i="23"/>
  <c r="J64" i="23"/>
  <c r="I64" i="23"/>
  <c r="R63" i="23" a="1"/>
  <c r="R63" i="23" s="1"/>
  <c r="Q63" i="23"/>
  <c r="Q63" i="23" a="1"/>
  <c r="P63" i="23" a="1"/>
  <c r="P63" i="23" s="1"/>
  <c r="O63" i="23"/>
  <c r="O63" i="23" a="1"/>
  <c r="N63" i="23" a="1"/>
  <c r="N63" i="23" s="1"/>
  <c r="M63" i="23"/>
  <c r="M63" i="23" a="1"/>
  <c r="L63" i="23" a="1"/>
  <c r="L63" i="23" s="1"/>
  <c r="K63" i="23"/>
  <c r="K63" i="23" a="1"/>
  <c r="J63" i="23" a="1"/>
  <c r="J63" i="23" s="1"/>
  <c r="I63" i="23"/>
  <c r="I63" i="23" a="1"/>
  <c r="R62" i="23" a="1"/>
  <c r="R62" i="23" s="1"/>
  <c r="Q62" i="23"/>
  <c r="Q62" i="23" a="1"/>
  <c r="P62" i="23" a="1"/>
  <c r="P62" i="23" s="1"/>
  <c r="O62" i="23"/>
  <c r="O62" i="23" a="1"/>
  <c r="N62" i="23" a="1"/>
  <c r="N62" i="23" s="1"/>
  <c r="M62" i="23"/>
  <c r="M62" i="23" a="1"/>
  <c r="L62" i="23" a="1"/>
  <c r="L62" i="23" s="1"/>
  <c r="K62" i="23"/>
  <c r="K62" i="23" a="1"/>
  <c r="J62" i="23" a="1"/>
  <c r="J62" i="23" s="1"/>
  <c r="I62" i="23"/>
  <c r="I62" i="23" a="1"/>
  <c r="R61" i="23" a="1"/>
  <c r="R61" i="23" s="1"/>
  <c r="Q61" i="23"/>
  <c r="Q61" i="23" a="1"/>
  <c r="P61" i="23" a="1"/>
  <c r="P61" i="23" s="1"/>
  <c r="O61" i="23"/>
  <c r="O61" i="23" a="1"/>
  <c r="N61" i="23" a="1"/>
  <c r="N61" i="23" s="1"/>
  <c r="M61" i="23" a="1"/>
  <c r="M61" i="23" s="1"/>
  <c r="L61" i="23" a="1"/>
  <c r="L61" i="23" s="1"/>
  <c r="K61" i="23" a="1"/>
  <c r="K61" i="23" s="1"/>
  <c r="J61" i="23" a="1"/>
  <c r="J61" i="23" s="1"/>
  <c r="I61" i="23" a="1"/>
  <c r="I61" i="23" s="1"/>
  <c r="R52" i="23"/>
  <c r="Q52" i="23"/>
  <c r="P52" i="23"/>
  <c r="O52" i="23"/>
  <c r="N52" i="23"/>
  <c r="M52" i="23"/>
  <c r="L52" i="23"/>
  <c r="K52" i="23"/>
  <c r="J52" i="23"/>
  <c r="I52" i="23"/>
  <c r="R51" i="23"/>
  <c r="R51" i="23" a="1"/>
  <c r="Q51" i="23" a="1"/>
  <c r="Q51" i="23" s="1"/>
  <c r="P51" i="23" a="1"/>
  <c r="P51" i="23" s="1"/>
  <c r="O51" i="23" a="1"/>
  <c r="O51" i="23" s="1"/>
  <c r="N51" i="23"/>
  <c r="N51" i="23" a="1"/>
  <c r="M51" i="23" a="1"/>
  <c r="M51" i="23" s="1"/>
  <c r="L51" i="23" a="1"/>
  <c r="L51" i="23" s="1"/>
  <c r="K51" i="23" a="1"/>
  <c r="K51" i="23" s="1"/>
  <c r="J51" i="23"/>
  <c r="J51" i="23" a="1"/>
  <c r="I51" i="23" a="1"/>
  <c r="I51" i="23" s="1"/>
  <c r="R50" i="23" a="1"/>
  <c r="R50" i="23" s="1"/>
  <c r="Q50" i="23" a="1"/>
  <c r="Q50" i="23" s="1"/>
  <c r="P50" i="23"/>
  <c r="P50" i="23" a="1"/>
  <c r="O50" i="23" a="1"/>
  <c r="O50" i="23" s="1"/>
  <c r="N50" i="23" a="1"/>
  <c r="N50" i="23" s="1"/>
  <c r="M50" i="23" a="1"/>
  <c r="M50" i="23" s="1"/>
  <c r="L50" i="23"/>
  <c r="L50" i="23" a="1"/>
  <c r="K50" i="23" a="1"/>
  <c r="K50" i="23" s="1"/>
  <c r="J50" i="23" a="1"/>
  <c r="J50" i="23" s="1"/>
  <c r="I50" i="23" a="1"/>
  <c r="I50" i="23" s="1"/>
  <c r="R49" i="23" a="1"/>
  <c r="R49" i="23" s="1"/>
  <c r="Q49" i="23" a="1"/>
  <c r="Q49" i="23" s="1"/>
  <c r="P49" i="23" a="1"/>
  <c r="P49" i="23" s="1"/>
  <c r="O49" i="23" a="1"/>
  <c r="O49" i="23" s="1"/>
  <c r="N49" i="23" a="1"/>
  <c r="N49" i="23" s="1"/>
  <c r="M49" i="23" a="1"/>
  <c r="M49" i="23" s="1"/>
  <c r="L49" i="23" a="1"/>
  <c r="L49" i="23" s="1"/>
  <c r="K49" i="23" a="1"/>
  <c r="K49" i="23" s="1"/>
  <c r="J49" i="23" a="1"/>
  <c r="J49" i="23" s="1"/>
  <c r="I49" i="23" a="1"/>
  <c r="I49" i="23" s="1"/>
  <c r="R148" i="12"/>
  <c r="Q148" i="12"/>
  <c r="P148" i="12"/>
  <c r="O148" i="12"/>
  <c r="N148" i="12"/>
  <c r="M148" i="12"/>
  <c r="L148" i="12"/>
  <c r="K148" i="12"/>
  <c r="J148" i="12"/>
  <c r="I148" i="12"/>
  <c r="R147" i="12" a="1"/>
  <c r="R147" i="12" s="1"/>
  <c r="Q147" i="12" a="1"/>
  <c r="Q147" i="12" s="1"/>
  <c r="P147" i="12" a="1"/>
  <c r="P147" i="12" s="1"/>
  <c r="O147" i="12" a="1"/>
  <c r="O147" i="12" s="1"/>
  <c r="N147" i="12" a="1"/>
  <c r="N147" i="12" s="1"/>
  <c r="M147" i="12" a="1"/>
  <c r="M147" i="12" s="1"/>
  <c r="L147" i="12" a="1"/>
  <c r="L147" i="12" s="1"/>
  <c r="K147" i="12" a="1"/>
  <c r="K147" i="12" s="1"/>
  <c r="J147" i="12" a="1"/>
  <c r="J147" i="12" s="1"/>
  <c r="I147" i="12" a="1"/>
  <c r="I147" i="12" s="1"/>
  <c r="R146" i="12" a="1"/>
  <c r="R146" i="12" s="1"/>
  <c r="Q146" i="12" a="1"/>
  <c r="Q146" i="12" s="1"/>
  <c r="P146" i="12" a="1"/>
  <c r="P146" i="12" s="1"/>
  <c r="O146" i="12" a="1"/>
  <c r="O146" i="12" s="1"/>
  <c r="N146" i="12" a="1"/>
  <c r="N146" i="12" s="1"/>
  <c r="M146" i="12" a="1"/>
  <c r="M146" i="12" s="1"/>
  <c r="L146" i="12" a="1"/>
  <c r="L146" i="12" s="1"/>
  <c r="K146" i="12" a="1"/>
  <c r="K146" i="12" s="1"/>
  <c r="J146" i="12" a="1"/>
  <c r="J146" i="12" s="1"/>
  <c r="I146" i="12" a="1"/>
  <c r="I146" i="12" s="1"/>
  <c r="R145" i="12" a="1"/>
  <c r="R145" i="12" s="1"/>
  <c r="Q145" i="12" a="1"/>
  <c r="Q145" i="12" s="1"/>
  <c r="P145" i="12" a="1"/>
  <c r="P145" i="12" s="1"/>
  <c r="O145" i="12" a="1"/>
  <c r="O145" i="12" s="1"/>
  <c r="N145" i="12" a="1"/>
  <c r="N145" i="12" s="1"/>
  <c r="M145" i="12" a="1"/>
  <c r="M145" i="12" s="1"/>
  <c r="L145" i="12" a="1"/>
  <c r="L145" i="12" s="1"/>
  <c r="K145" i="12" a="1"/>
  <c r="K145" i="12" s="1"/>
  <c r="J145" i="12" a="1"/>
  <c r="J145" i="12" s="1"/>
  <c r="I145" i="12" a="1"/>
  <c r="I145" i="12" s="1"/>
  <c r="R136" i="12"/>
  <c r="Q136" i="12"/>
  <c r="P136" i="12"/>
  <c r="O136" i="12"/>
  <c r="N136" i="12"/>
  <c r="M136" i="12"/>
  <c r="L136" i="12"/>
  <c r="K136" i="12"/>
  <c r="J136" i="12"/>
  <c r="I136" i="12"/>
  <c r="R135" i="12" a="1"/>
  <c r="R135" i="12" s="1"/>
  <c r="Q135" i="12" a="1"/>
  <c r="Q135" i="12" s="1"/>
  <c r="P135" i="12" a="1"/>
  <c r="P135" i="12" s="1"/>
  <c r="O135" i="12" a="1"/>
  <c r="O135" i="12" s="1"/>
  <c r="N135" i="12" a="1"/>
  <c r="N135" i="12" s="1"/>
  <c r="M135" i="12" a="1"/>
  <c r="M135" i="12" s="1"/>
  <c r="L135" i="12" a="1"/>
  <c r="L135" i="12" s="1"/>
  <c r="K135" i="12" a="1"/>
  <c r="K135" i="12" s="1"/>
  <c r="J135" i="12" a="1"/>
  <c r="J135" i="12" s="1"/>
  <c r="I135" i="12" a="1"/>
  <c r="I135" i="12" s="1"/>
  <c r="R134" i="12" a="1"/>
  <c r="R134" i="12" s="1"/>
  <c r="Q134" i="12" a="1"/>
  <c r="Q134" i="12" s="1"/>
  <c r="P134" i="12" a="1"/>
  <c r="P134" i="12" s="1"/>
  <c r="O134" i="12" a="1"/>
  <c r="O134" i="12" s="1"/>
  <c r="N134" i="12" a="1"/>
  <c r="N134" i="12" s="1"/>
  <c r="M134" i="12" a="1"/>
  <c r="M134" i="12" s="1"/>
  <c r="L134" i="12" a="1"/>
  <c r="L134" i="12" s="1"/>
  <c r="K134" i="12" a="1"/>
  <c r="K134" i="12" s="1"/>
  <c r="J134" i="12" a="1"/>
  <c r="J134" i="12" s="1"/>
  <c r="I134" i="12" a="1"/>
  <c r="I134" i="12" s="1"/>
  <c r="R133" i="12" a="1"/>
  <c r="R133" i="12" s="1"/>
  <c r="Q133" i="12" a="1"/>
  <c r="Q133" i="12" s="1"/>
  <c r="P133" i="12" a="1"/>
  <c r="P133" i="12" s="1"/>
  <c r="O133" i="12" a="1"/>
  <c r="O133" i="12" s="1"/>
  <c r="N133" i="12" a="1"/>
  <c r="N133" i="12" s="1"/>
  <c r="M133" i="12" a="1"/>
  <c r="M133" i="12" s="1"/>
  <c r="L133" i="12" a="1"/>
  <c r="L133" i="12" s="1"/>
  <c r="K133" i="12" a="1"/>
  <c r="K133" i="12" s="1"/>
  <c r="J133" i="12" a="1"/>
  <c r="J133" i="12" s="1"/>
  <c r="I133" i="12" a="1"/>
  <c r="I133" i="12" s="1"/>
  <c r="R124" i="12"/>
  <c r="Q124" i="12"/>
  <c r="P124" i="12"/>
  <c r="O124" i="12"/>
  <c r="N124" i="12"/>
  <c r="M124" i="12"/>
  <c r="L124" i="12"/>
  <c r="K124" i="12"/>
  <c r="J124" i="12"/>
  <c r="I124" i="12"/>
  <c r="R123" i="12" a="1"/>
  <c r="R123" i="12" s="1"/>
  <c r="Q123" i="12" a="1"/>
  <c r="Q123" i="12" s="1"/>
  <c r="P123" i="12" a="1"/>
  <c r="P123" i="12" s="1"/>
  <c r="O123" i="12" a="1"/>
  <c r="O123" i="12" s="1"/>
  <c r="N123" i="12" a="1"/>
  <c r="N123" i="12" s="1"/>
  <c r="M123" i="12" a="1"/>
  <c r="M123" i="12" s="1"/>
  <c r="L123" i="12" a="1"/>
  <c r="L123" i="12" s="1"/>
  <c r="K123" i="12" a="1"/>
  <c r="K123" i="12" s="1"/>
  <c r="J123" i="12" a="1"/>
  <c r="J123" i="12" s="1"/>
  <c r="I123" i="12" a="1"/>
  <c r="I123" i="12" s="1"/>
  <c r="R122" i="12" a="1"/>
  <c r="R122" i="12" s="1"/>
  <c r="Q122" i="12" a="1"/>
  <c r="Q122" i="12" s="1"/>
  <c r="P122" i="12" a="1"/>
  <c r="P122" i="12" s="1"/>
  <c r="O122" i="12" a="1"/>
  <c r="O122" i="12" s="1"/>
  <c r="N122" i="12" a="1"/>
  <c r="N122" i="12" s="1"/>
  <c r="M122" i="12" a="1"/>
  <c r="M122" i="12" s="1"/>
  <c r="L122" i="12" a="1"/>
  <c r="L122" i="12" s="1"/>
  <c r="K122" i="12" a="1"/>
  <c r="K122" i="12" s="1"/>
  <c r="J122" i="12" a="1"/>
  <c r="J122" i="12" s="1"/>
  <c r="I122" i="12" a="1"/>
  <c r="I122" i="12" s="1"/>
  <c r="R121" i="12" a="1"/>
  <c r="R121" i="12" s="1"/>
  <c r="Q121" i="12" a="1"/>
  <c r="Q121" i="12" s="1"/>
  <c r="P121" i="12" a="1"/>
  <c r="P121" i="12" s="1"/>
  <c r="O121" i="12" a="1"/>
  <c r="O121" i="12" s="1"/>
  <c r="N121" i="12" a="1"/>
  <c r="N121" i="12" s="1"/>
  <c r="M121" i="12" a="1"/>
  <c r="M121" i="12" s="1"/>
  <c r="L121" i="12" a="1"/>
  <c r="L121" i="12" s="1"/>
  <c r="K121" i="12" a="1"/>
  <c r="K121" i="12" s="1"/>
  <c r="J121" i="12" a="1"/>
  <c r="J121" i="12" s="1"/>
  <c r="I121" i="12" a="1"/>
  <c r="I121" i="12" s="1"/>
  <c r="R112" i="12"/>
  <c r="Q112" i="12"/>
  <c r="P112" i="12"/>
  <c r="O112" i="12"/>
  <c r="N112" i="12"/>
  <c r="M112" i="12"/>
  <c r="L112" i="12"/>
  <c r="K112" i="12"/>
  <c r="J112" i="12"/>
  <c r="I112" i="12"/>
  <c r="R111" i="12" a="1"/>
  <c r="R111" i="12" s="1"/>
  <c r="Q111" i="12" a="1"/>
  <c r="Q111" i="12" s="1"/>
  <c r="P111" i="12" a="1"/>
  <c r="P111" i="12" s="1"/>
  <c r="O111" i="12" a="1"/>
  <c r="O111" i="12" s="1"/>
  <c r="N111" i="12" a="1"/>
  <c r="N111" i="12" s="1"/>
  <c r="M111" i="12" a="1"/>
  <c r="M111" i="12" s="1"/>
  <c r="L111" i="12" a="1"/>
  <c r="L111" i="12" s="1"/>
  <c r="K111" i="12" a="1"/>
  <c r="K111" i="12" s="1"/>
  <c r="J111" i="12" a="1"/>
  <c r="J111" i="12" s="1"/>
  <c r="I111" i="12" a="1"/>
  <c r="I111" i="12" s="1"/>
  <c r="R110" i="12" a="1"/>
  <c r="R110" i="12" s="1"/>
  <c r="Q110" i="12" a="1"/>
  <c r="Q110" i="12" s="1"/>
  <c r="P110" i="12" a="1"/>
  <c r="P110" i="12" s="1"/>
  <c r="O110" i="12" a="1"/>
  <c r="O110" i="12" s="1"/>
  <c r="N110" i="12" a="1"/>
  <c r="N110" i="12" s="1"/>
  <c r="M110" i="12" a="1"/>
  <c r="M110" i="12" s="1"/>
  <c r="L110" i="12" a="1"/>
  <c r="L110" i="12" s="1"/>
  <c r="K110" i="12" a="1"/>
  <c r="K110" i="12" s="1"/>
  <c r="J110" i="12" a="1"/>
  <c r="J110" i="12" s="1"/>
  <c r="I110" i="12" a="1"/>
  <c r="I110" i="12" s="1"/>
  <c r="R109" i="12" a="1"/>
  <c r="R109" i="12" s="1"/>
  <c r="Q109" i="12" a="1"/>
  <c r="Q109" i="12" s="1"/>
  <c r="P109" i="12" a="1"/>
  <c r="P109" i="12" s="1"/>
  <c r="O109" i="12" a="1"/>
  <c r="O109" i="12" s="1"/>
  <c r="N109" i="12" a="1"/>
  <c r="N109" i="12" s="1"/>
  <c r="M109" i="12" a="1"/>
  <c r="M109" i="12" s="1"/>
  <c r="L109" i="12" a="1"/>
  <c r="L109" i="12" s="1"/>
  <c r="K109" i="12" a="1"/>
  <c r="K109" i="12" s="1"/>
  <c r="J109" i="12" a="1"/>
  <c r="J109" i="12" s="1"/>
  <c r="I109" i="12" a="1"/>
  <c r="I109" i="12" s="1"/>
  <c r="R100" i="12"/>
  <c r="Q100" i="12"/>
  <c r="P100" i="12"/>
  <c r="O100" i="12"/>
  <c r="N100" i="12"/>
  <c r="M100" i="12"/>
  <c r="L100" i="12"/>
  <c r="K100" i="12"/>
  <c r="J100" i="12"/>
  <c r="I100" i="12"/>
  <c r="R99" i="12" a="1"/>
  <c r="R99" i="12" s="1"/>
  <c r="Q99" i="12"/>
  <c r="Q99" i="12" a="1"/>
  <c r="P99" i="12" a="1"/>
  <c r="P99" i="12" s="1"/>
  <c r="O99" i="12" a="1"/>
  <c r="O99" i="12" s="1"/>
  <c r="N99" i="12" a="1"/>
  <c r="N99" i="12" s="1"/>
  <c r="M99" i="12" a="1"/>
  <c r="M99" i="12" s="1"/>
  <c r="L99" i="12" a="1"/>
  <c r="L99" i="12" s="1"/>
  <c r="K99" i="12" a="1"/>
  <c r="K99" i="12" s="1"/>
  <c r="J99" i="12" a="1"/>
  <c r="J99" i="12" s="1"/>
  <c r="I99" i="12" a="1"/>
  <c r="I99" i="12" s="1"/>
  <c r="R98" i="12" a="1"/>
  <c r="R98" i="12" s="1"/>
  <c r="Q98" i="12" a="1"/>
  <c r="Q98" i="12" s="1"/>
  <c r="P98" i="12" a="1"/>
  <c r="P98" i="12" s="1"/>
  <c r="O98" i="12" a="1"/>
  <c r="O98" i="12" s="1"/>
  <c r="N98" i="12" a="1"/>
  <c r="N98" i="12" s="1"/>
  <c r="M98" i="12" a="1"/>
  <c r="M98" i="12" s="1"/>
  <c r="L98" i="12" a="1"/>
  <c r="L98" i="12" s="1"/>
  <c r="K98" i="12" a="1"/>
  <c r="K98" i="12" s="1"/>
  <c r="J98" i="12" a="1"/>
  <c r="J98" i="12" s="1"/>
  <c r="I98" i="12" a="1"/>
  <c r="I98" i="12" s="1"/>
  <c r="R97" i="12" a="1"/>
  <c r="R97" i="12" s="1"/>
  <c r="Q97" i="12" a="1"/>
  <c r="Q97" i="12" s="1"/>
  <c r="P97" i="12" a="1"/>
  <c r="P97" i="12" s="1"/>
  <c r="O97" i="12" a="1"/>
  <c r="O97" i="12" s="1"/>
  <c r="N97" i="12" a="1"/>
  <c r="N97" i="12" s="1"/>
  <c r="M97" i="12" a="1"/>
  <c r="M97" i="12" s="1"/>
  <c r="L97" i="12" a="1"/>
  <c r="L97" i="12" s="1"/>
  <c r="K97" i="12" a="1"/>
  <c r="K97" i="12" s="1"/>
  <c r="J97" i="12" a="1"/>
  <c r="J97" i="12" s="1"/>
  <c r="I97" i="12" a="1"/>
  <c r="I97" i="12" s="1"/>
  <c r="R88" i="12"/>
  <c r="Q88" i="12"/>
  <c r="P88" i="12"/>
  <c r="O88" i="12"/>
  <c r="N88" i="12"/>
  <c r="M88" i="12"/>
  <c r="L88" i="12"/>
  <c r="K88" i="12"/>
  <c r="J88" i="12"/>
  <c r="I88" i="12"/>
  <c r="R87" i="12" a="1"/>
  <c r="R87" i="12" s="1"/>
  <c r="Q87" i="12" a="1"/>
  <c r="Q87" i="12" s="1"/>
  <c r="P87" i="12" a="1"/>
  <c r="P87" i="12" s="1"/>
  <c r="O87" i="12" a="1"/>
  <c r="O87" i="12" s="1"/>
  <c r="N87" i="12" a="1"/>
  <c r="N87" i="12" s="1"/>
  <c r="M87" i="12" a="1"/>
  <c r="M87" i="12" s="1"/>
  <c r="L87" i="12" a="1"/>
  <c r="L87" i="12" s="1"/>
  <c r="K87" i="12" a="1"/>
  <c r="K87" i="12" s="1"/>
  <c r="J87" i="12" a="1"/>
  <c r="J87" i="12" s="1"/>
  <c r="I87" i="12" a="1"/>
  <c r="I87" i="12" s="1"/>
  <c r="R86" i="12" a="1"/>
  <c r="R86" i="12" s="1"/>
  <c r="Q86" i="12" a="1"/>
  <c r="Q86" i="12" s="1"/>
  <c r="P86" i="12" a="1"/>
  <c r="P86" i="12" s="1"/>
  <c r="O86" i="12" a="1"/>
  <c r="O86" i="12" s="1"/>
  <c r="N86" i="12" a="1"/>
  <c r="N86" i="12" s="1"/>
  <c r="M86" i="12" a="1"/>
  <c r="M86" i="12" s="1"/>
  <c r="L86" i="12" a="1"/>
  <c r="L86" i="12" s="1"/>
  <c r="K86" i="12" a="1"/>
  <c r="K86" i="12" s="1"/>
  <c r="J86" i="12" a="1"/>
  <c r="J86" i="12" s="1"/>
  <c r="I86" i="12" a="1"/>
  <c r="I86" i="12" s="1"/>
  <c r="R85" i="12" a="1"/>
  <c r="R85" i="12" s="1"/>
  <c r="Q85" i="12" a="1"/>
  <c r="Q85" i="12" s="1"/>
  <c r="P85" i="12" a="1"/>
  <c r="P85" i="12" s="1"/>
  <c r="O85" i="12" a="1"/>
  <c r="O85" i="12" s="1"/>
  <c r="N85" i="12" a="1"/>
  <c r="N85" i="12" s="1"/>
  <c r="M85" i="12" a="1"/>
  <c r="M85" i="12" s="1"/>
  <c r="L85" i="12" a="1"/>
  <c r="L85" i="12" s="1"/>
  <c r="K85" i="12" a="1"/>
  <c r="K85" i="12" s="1"/>
  <c r="J85" i="12" a="1"/>
  <c r="J85" i="12" s="1"/>
  <c r="I85" i="12" a="1"/>
  <c r="I85" i="12" s="1"/>
  <c r="R76" i="12"/>
  <c r="Q76" i="12"/>
  <c r="P76" i="12"/>
  <c r="O76" i="12"/>
  <c r="N76" i="12"/>
  <c r="M76" i="12"/>
  <c r="L76" i="12"/>
  <c r="K76" i="12"/>
  <c r="J76" i="12"/>
  <c r="I76" i="12"/>
  <c r="R75" i="12" a="1"/>
  <c r="R75" i="12" s="1"/>
  <c r="Q75" i="12" a="1"/>
  <c r="Q75" i="12" s="1"/>
  <c r="P75" i="12" a="1"/>
  <c r="P75" i="12" s="1"/>
  <c r="O75" i="12"/>
  <c r="O75" i="12" a="1"/>
  <c r="N75" i="12" a="1"/>
  <c r="N75" i="12" s="1"/>
  <c r="M75" i="12" a="1"/>
  <c r="M75" i="12" s="1"/>
  <c r="L75" i="12" a="1"/>
  <c r="L75" i="12" s="1"/>
  <c r="K75" i="12"/>
  <c r="K75" i="12" a="1"/>
  <c r="J75" i="12" a="1"/>
  <c r="J75" i="12" s="1"/>
  <c r="I75" i="12" a="1"/>
  <c r="I75" i="12" s="1"/>
  <c r="R74" i="12" a="1"/>
  <c r="R74" i="12" s="1"/>
  <c r="Q74" i="12"/>
  <c r="Q74" i="12" a="1"/>
  <c r="P74" i="12" a="1"/>
  <c r="P74" i="12" s="1"/>
  <c r="O74" i="12" a="1"/>
  <c r="O74" i="12" s="1"/>
  <c r="N74" i="12" a="1"/>
  <c r="N74" i="12" s="1"/>
  <c r="M74" i="12" a="1"/>
  <c r="M74" i="12" s="1"/>
  <c r="L74" i="12" a="1"/>
  <c r="L74" i="12" s="1"/>
  <c r="K74" i="12" a="1"/>
  <c r="K74" i="12" s="1"/>
  <c r="J74" i="12" a="1"/>
  <c r="J74" i="12" s="1"/>
  <c r="I74" i="12" a="1"/>
  <c r="I74" i="12" s="1"/>
  <c r="R73" i="12" a="1"/>
  <c r="R73" i="12" s="1"/>
  <c r="Q73" i="12" a="1"/>
  <c r="Q73" i="12" s="1"/>
  <c r="P73" i="12" a="1"/>
  <c r="P73" i="12" s="1"/>
  <c r="O73" i="12" a="1"/>
  <c r="O73" i="12" s="1"/>
  <c r="N73" i="12" a="1"/>
  <c r="N73" i="12" s="1"/>
  <c r="M73" i="12" a="1"/>
  <c r="M73" i="12" s="1"/>
  <c r="L73" i="12" a="1"/>
  <c r="L73" i="12" s="1"/>
  <c r="K73" i="12" a="1"/>
  <c r="K73" i="12" s="1"/>
  <c r="J73" i="12" a="1"/>
  <c r="J73" i="12" s="1"/>
  <c r="I73" i="12" a="1"/>
  <c r="I73" i="12" s="1"/>
  <c r="R64" i="12"/>
  <c r="Q64" i="12"/>
  <c r="P64" i="12"/>
  <c r="O64" i="12"/>
  <c r="N64" i="12"/>
  <c r="M64" i="12"/>
  <c r="L64" i="12"/>
  <c r="K64" i="12"/>
  <c r="J64" i="12"/>
  <c r="I64" i="12"/>
  <c r="R63" i="12" a="1"/>
  <c r="R63" i="12" s="1"/>
  <c r="Q63" i="12" a="1"/>
  <c r="Q63" i="12" s="1"/>
  <c r="P63" i="12" a="1"/>
  <c r="P63" i="12" s="1"/>
  <c r="O63" i="12" a="1"/>
  <c r="O63" i="12" s="1"/>
  <c r="N63" i="12" a="1"/>
  <c r="N63" i="12" s="1"/>
  <c r="M63" i="12" a="1"/>
  <c r="M63" i="12" s="1"/>
  <c r="L63" i="12" a="1"/>
  <c r="L63" i="12" s="1"/>
  <c r="K63" i="12" a="1"/>
  <c r="K63" i="12" s="1"/>
  <c r="J63" i="12" a="1"/>
  <c r="J63" i="12" s="1"/>
  <c r="I63" i="12" a="1"/>
  <c r="I63" i="12" s="1"/>
  <c r="R62" i="12" a="1"/>
  <c r="R62" i="12" s="1"/>
  <c r="Q62" i="12" a="1"/>
  <c r="Q62" i="12" s="1"/>
  <c r="P62" i="12" a="1"/>
  <c r="P62" i="12" s="1"/>
  <c r="O62" i="12" a="1"/>
  <c r="O62" i="12" s="1"/>
  <c r="N62" i="12" a="1"/>
  <c r="N62" i="12" s="1"/>
  <c r="M62" i="12" a="1"/>
  <c r="M62" i="12" s="1"/>
  <c r="L62" i="12" a="1"/>
  <c r="L62" i="12" s="1"/>
  <c r="K62" i="12" a="1"/>
  <c r="K62" i="12" s="1"/>
  <c r="J62" i="12" a="1"/>
  <c r="J62" i="12" s="1"/>
  <c r="I62" i="12" a="1"/>
  <c r="I62" i="12" s="1"/>
  <c r="R61" i="12" a="1"/>
  <c r="R61" i="12" s="1"/>
  <c r="Q61" i="12" a="1"/>
  <c r="Q61" i="12" s="1"/>
  <c r="P61" i="12" a="1"/>
  <c r="P61" i="12" s="1"/>
  <c r="O61" i="12" a="1"/>
  <c r="O61" i="12" s="1"/>
  <c r="N61" i="12" a="1"/>
  <c r="N61" i="12" s="1"/>
  <c r="M61" i="12" a="1"/>
  <c r="M61" i="12" s="1"/>
  <c r="L61" i="12" a="1"/>
  <c r="L61" i="12" s="1"/>
  <c r="K61" i="12" a="1"/>
  <c r="K61" i="12" s="1"/>
  <c r="J61" i="12" a="1"/>
  <c r="J61" i="12" s="1"/>
  <c r="I61" i="12" a="1"/>
  <c r="I61" i="12" s="1"/>
  <c r="R52" i="12"/>
  <c r="Q52" i="12"/>
  <c r="P52" i="12"/>
  <c r="O52" i="12"/>
  <c r="N52" i="12"/>
  <c r="M52" i="12"/>
  <c r="L52" i="12"/>
  <c r="K52" i="12"/>
  <c r="J52" i="12"/>
  <c r="I52" i="12"/>
  <c r="R51" i="12" a="1"/>
  <c r="R51" i="12" s="1"/>
  <c r="Q51" i="12"/>
  <c r="Q51" i="12" a="1"/>
  <c r="P51" i="12" a="1"/>
  <c r="P51" i="12" s="1"/>
  <c r="O51" i="12" a="1"/>
  <c r="O51" i="12" s="1"/>
  <c r="N51" i="12" a="1"/>
  <c r="N51" i="12" s="1"/>
  <c r="M51" i="12"/>
  <c r="M51" i="12" a="1"/>
  <c r="L51" i="12" a="1"/>
  <c r="L51" i="12" s="1"/>
  <c r="K51" i="12" a="1"/>
  <c r="K51" i="12" s="1"/>
  <c r="J51" i="12" a="1"/>
  <c r="J51" i="12" s="1"/>
  <c r="I51" i="12" a="1"/>
  <c r="I51" i="12" s="1"/>
  <c r="R50" i="12" a="1"/>
  <c r="R50" i="12" s="1"/>
  <c r="Q50" i="12" a="1"/>
  <c r="Q50" i="12" s="1"/>
  <c r="P50" i="12" a="1"/>
  <c r="P50" i="12" s="1"/>
  <c r="O50" i="12" a="1"/>
  <c r="O50" i="12" s="1"/>
  <c r="N50" i="12" a="1"/>
  <c r="N50" i="12" s="1"/>
  <c r="M50" i="12" a="1"/>
  <c r="M50" i="12" s="1"/>
  <c r="L50" i="12" a="1"/>
  <c r="L50" i="12" s="1"/>
  <c r="K50" i="12" a="1"/>
  <c r="K50" i="12" s="1"/>
  <c r="J50" i="12" a="1"/>
  <c r="J50" i="12" s="1"/>
  <c r="I50" i="12" a="1"/>
  <c r="I50" i="12" s="1"/>
  <c r="R49" i="12" a="1"/>
  <c r="R49" i="12" s="1"/>
  <c r="Q49" i="12" a="1"/>
  <c r="Q49" i="12" s="1"/>
  <c r="P49" i="12" a="1"/>
  <c r="P49" i="12" s="1"/>
  <c r="O49" i="12" a="1"/>
  <c r="O49" i="12" s="1"/>
  <c r="N49" i="12" a="1"/>
  <c r="N49" i="12" s="1"/>
  <c r="M49" i="12" a="1"/>
  <c r="M49" i="12" s="1"/>
  <c r="L49" i="12" a="1"/>
  <c r="L49" i="12" s="1"/>
  <c r="K49" i="12" a="1"/>
  <c r="K49" i="12" s="1"/>
  <c r="J49" i="12" a="1"/>
  <c r="J49" i="12" s="1"/>
  <c r="I49" i="12" a="1"/>
  <c r="I49" i="12" s="1"/>
  <c r="I37" i="25" a="1"/>
  <c r="I37" i="25" s="1"/>
  <c r="R39" i="25" a="1"/>
  <c r="R39" i="25" s="1"/>
  <c r="Q39" i="25" a="1"/>
  <c r="Q39" i="25" s="1"/>
  <c r="P39" i="25" a="1"/>
  <c r="P39" i="25" s="1"/>
  <c r="O39" i="25" a="1"/>
  <c r="O39" i="25" s="1"/>
  <c r="N39" i="25" a="1"/>
  <c r="N39" i="25" s="1"/>
  <c r="M39" i="25" a="1"/>
  <c r="M39" i="25" s="1"/>
  <c r="L39" i="25" a="1"/>
  <c r="L39" i="25" s="1"/>
  <c r="K39" i="25" a="1"/>
  <c r="K39" i="25" s="1"/>
  <c r="J39" i="25" a="1"/>
  <c r="J39" i="25" s="1"/>
  <c r="I39" i="25" a="1"/>
  <c r="I39" i="25" s="1"/>
  <c r="R38" i="25" a="1"/>
  <c r="R38" i="25" s="1"/>
  <c r="Q38" i="25" a="1"/>
  <c r="Q38" i="25" s="1"/>
  <c r="P38" i="25" a="1"/>
  <c r="P38" i="25" s="1"/>
  <c r="O38" i="25" a="1"/>
  <c r="O38" i="25" s="1"/>
  <c r="N38" i="25" a="1"/>
  <c r="N38" i="25" s="1"/>
  <c r="M38" i="25" a="1"/>
  <c r="M38" i="25" s="1"/>
  <c r="L38" i="25" a="1"/>
  <c r="L38" i="25" s="1"/>
  <c r="K38" i="25" a="1"/>
  <c r="K38" i="25" s="1"/>
  <c r="J38" i="25" a="1"/>
  <c r="J38" i="25" s="1"/>
  <c r="I38" i="25" a="1"/>
  <c r="I38" i="25" s="1"/>
  <c r="R37" i="25" a="1"/>
  <c r="R37" i="25" s="1"/>
  <c r="Q37" i="25" a="1"/>
  <c r="Q37" i="25" s="1"/>
  <c r="P37" i="25" a="1"/>
  <c r="P37" i="25" s="1"/>
  <c r="O37" i="25" a="1"/>
  <c r="O37" i="25" s="1"/>
  <c r="N37" i="25" a="1"/>
  <c r="N37" i="25" s="1"/>
  <c r="M37" i="25" a="1"/>
  <c r="M37" i="25" s="1"/>
  <c r="L37" i="25" a="1"/>
  <c r="L37" i="25" s="1"/>
  <c r="K37" i="25" a="1"/>
  <c r="K37" i="25" s="1"/>
  <c r="J37" i="25" a="1"/>
  <c r="J37" i="25" s="1"/>
  <c r="R39" i="24" a="1"/>
  <c r="R39" i="24" s="1"/>
  <c r="Q39" i="24" a="1"/>
  <c r="Q39" i="24" s="1"/>
  <c r="P39" i="24" a="1"/>
  <c r="P39" i="24" s="1"/>
  <c r="O39" i="24" a="1"/>
  <c r="O39" i="24" s="1"/>
  <c r="N39" i="24" a="1"/>
  <c r="N39" i="24" s="1"/>
  <c r="M39" i="24" a="1"/>
  <c r="M39" i="24" s="1"/>
  <c r="L39" i="24" a="1"/>
  <c r="L39" i="24" s="1"/>
  <c r="K39" i="24" a="1"/>
  <c r="K39" i="24" s="1"/>
  <c r="J39" i="24" a="1"/>
  <c r="J39" i="24" s="1"/>
  <c r="I39" i="24" a="1"/>
  <c r="I39" i="24" s="1"/>
  <c r="R38" i="24" a="1"/>
  <c r="R38" i="24" s="1"/>
  <c r="Q38" i="24"/>
  <c r="Q38" i="24" a="1"/>
  <c r="P38" i="24" a="1"/>
  <c r="P38" i="24" s="1"/>
  <c r="O38" i="24" a="1"/>
  <c r="O38" i="24" s="1"/>
  <c r="N38" i="24" a="1"/>
  <c r="N38" i="24" s="1"/>
  <c r="M38" i="24" a="1"/>
  <c r="M38" i="24" s="1"/>
  <c r="L38" i="24" a="1"/>
  <c r="L38" i="24" s="1"/>
  <c r="K38" i="24" a="1"/>
  <c r="K38" i="24" s="1"/>
  <c r="J38" i="24" a="1"/>
  <c r="J38" i="24" s="1"/>
  <c r="I38" i="24" a="1"/>
  <c r="I38" i="24" s="1"/>
  <c r="R37" i="24" a="1"/>
  <c r="R37" i="24" s="1"/>
  <c r="Q37" i="24" a="1"/>
  <c r="Q37" i="24" s="1"/>
  <c r="P37" i="24" a="1"/>
  <c r="P37" i="24" s="1"/>
  <c r="O37" i="24" a="1"/>
  <c r="O37" i="24" s="1"/>
  <c r="N37" i="24" a="1"/>
  <c r="N37" i="24" s="1"/>
  <c r="M37" i="24" a="1"/>
  <c r="M37" i="24" s="1"/>
  <c r="L37" i="24" a="1"/>
  <c r="L37" i="24" s="1"/>
  <c r="K37" i="24" a="1"/>
  <c r="K37" i="24" s="1"/>
  <c r="J37" i="24" a="1"/>
  <c r="J37" i="24" s="1"/>
  <c r="I37" i="24" a="1"/>
  <c r="I37" i="24" s="1"/>
  <c r="R39" i="23" a="1"/>
  <c r="R39" i="23" s="1"/>
  <c r="Q39" i="23" a="1"/>
  <c r="Q39" i="23" s="1"/>
  <c r="P39" i="23" a="1"/>
  <c r="P39" i="23" s="1"/>
  <c r="O39" i="23" a="1"/>
  <c r="O39" i="23" s="1"/>
  <c r="N39" i="23" a="1"/>
  <c r="N39" i="23" s="1"/>
  <c r="M39" i="23" a="1"/>
  <c r="M39" i="23" s="1"/>
  <c r="L39" i="23" a="1"/>
  <c r="L39" i="23" s="1"/>
  <c r="K39" i="23" a="1"/>
  <c r="K39" i="23" s="1"/>
  <c r="J39" i="23" a="1"/>
  <c r="J39" i="23" s="1"/>
  <c r="I39" i="23" a="1"/>
  <c r="I39" i="23" s="1"/>
  <c r="R38" i="23" a="1"/>
  <c r="R38" i="23" s="1"/>
  <c r="Q38" i="23" a="1"/>
  <c r="Q38" i="23" s="1"/>
  <c r="P38" i="23" a="1"/>
  <c r="P38" i="23" s="1"/>
  <c r="O38" i="23" a="1"/>
  <c r="O38" i="23" s="1"/>
  <c r="N38" i="23" a="1"/>
  <c r="N38" i="23" s="1"/>
  <c r="M38" i="23" a="1"/>
  <c r="M38" i="23" s="1"/>
  <c r="L38" i="23" a="1"/>
  <c r="L38" i="23" s="1"/>
  <c r="K38" i="23" a="1"/>
  <c r="K38" i="23" s="1"/>
  <c r="J38" i="23" a="1"/>
  <c r="J38" i="23" s="1"/>
  <c r="I38" i="23" a="1"/>
  <c r="I38" i="23" s="1"/>
  <c r="R37" i="23" a="1"/>
  <c r="R37" i="23" s="1"/>
  <c r="Q37" i="23" a="1"/>
  <c r="Q37" i="23" s="1"/>
  <c r="P37" i="23" a="1"/>
  <c r="P37" i="23" s="1"/>
  <c r="O37" i="23" a="1"/>
  <c r="O37" i="23" s="1"/>
  <c r="N37" i="23" a="1"/>
  <c r="N37" i="23" s="1"/>
  <c r="M37" i="23" a="1"/>
  <c r="M37" i="23" s="1"/>
  <c r="L37" i="23" a="1"/>
  <c r="L37" i="23" s="1"/>
  <c r="K37" i="23" a="1"/>
  <c r="K37" i="23" s="1"/>
  <c r="J37" i="23" a="1"/>
  <c r="J37" i="23" s="1"/>
  <c r="I37" i="23" a="1"/>
  <c r="I37" i="23" s="1"/>
  <c r="R26" i="25"/>
  <c r="Q26" i="25"/>
  <c r="P26" i="25"/>
  <c r="O26" i="25"/>
  <c r="N26" i="25"/>
  <c r="M26" i="25"/>
  <c r="L26" i="25"/>
  <c r="K26" i="25"/>
  <c r="J26" i="25"/>
  <c r="I26" i="25"/>
  <c r="R26" i="24"/>
  <c r="Q26" i="24"/>
  <c r="P26" i="24"/>
  <c r="O26" i="24"/>
  <c r="N26" i="24"/>
  <c r="M26" i="24"/>
  <c r="L26" i="24"/>
  <c r="K26" i="24"/>
  <c r="J26" i="24"/>
  <c r="I26" i="24"/>
  <c r="R26" i="23"/>
  <c r="Q26" i="23"/>
  <c r="P26" i="23"/>
  <c r="O26" i="23"/>
  <c r="N26" i="23"/>
  <c r="M26" i="23"/>
  <c r="L26" i="23"/>
  <c r="K26" i="23"/>
  <c r="J26" i="23"/>
  <c r="I26" i="23"/>
  <c r="J37" i="12" a="1"/>
  <c r="J37" i="12" s="1"/>
  <c r="K37" i="12" a="1"/>
  <c r="K37" i="12" s="1"/>
  <c r="L37" i="12" a="1"/>
  <c r="L37" i="12" s="1"/>
  <c r="M37" i="12" a="1"/>
  <c r="M37" i="12" s="1"/>
  <c r="N37" i="12" a="1"/>
  <c r="N37" i="12" s="1"/>
  <c r="O37" i="12" a="1"/>
  <c r="O37" i="12" s="1"/>
  <c r="P37" i="12" a="1"/>
  <c r="P37" i="12" s="1"/>
  <c r="Q37" i="12" a="1"/>
  <c r="Q37" i="12" s="1"/>
  <c r="R37" i="12" a="1"/>
  <c r="R37" i="12" s="1"/>
  <c r="J38" i="12" a="1"/>
  <c r="J38" i="12" s="1"/>
  <c r="K38" i="12" a="1"/>
  <c r="K38" i="12" s="1"/>
  <c r="L38" i="12" a="1"/>
  <c r="L38" i="12" s="1"/>
  <c r="M38" i="12" a="1"/>
  <c r="M38" i="12" s="1"/>
  <c r="N38" i="12" a="1"/>
  <c r="N38" i="12" s="1"/>
  <c r="O38" i="12" a="1"/>
  <c r="O38" i="12" s="1"/>
  <c r="P38" i="12" a="1"/>
  <c r="P38" i="12" s="1"/>
  <c r="Q38" i="12" a="1"/>
  <c r="Q38" i="12" s="1"/>
  <c r="R38" i="12" a="1"/>
  <c r="R38" i="12" s="1"/>
  <c r="J39" i="12" a="1"/>
  <c r="J39" i="12" s="1"/>
  <c r="K39" i="12" a="1"/>
  <c r="K39" i="12" s="1"/>
  <c r="L39" i="12" a="1"/>
  <c r="L39" i="12" s="1"/>
  <c r="M39" i="12" a="1"/>
  <c r="M39" i="12" s="1"/>
  <c r="N39" i="12" a="1"/>
  <c r="N39" i="12" s="1"/>
  <c r="O39" i="12" a="1"/>
  <c r="O39" i="12" s="1"/>
  <c r="P39" i="12" a="1"/>
  <c r="P39" i="12" s="1"/>
  <c r="Q39" i="12" a="1"/>
  <c r="Q39" i="12" s="1"/>
  <c r="R39" i="12" a="1"/>
  <c r="R39" i="12" s="1"/>
  <c r="I39" i="12" a="1"/>
  <c r="I39" i="12" s="1"/>
  <c r="I38" i="12" a="1"/>
  <c r="I38" i="12" s="1"/>
  <c r="J26" i="12"/>
  <c r="K26" i="12"/>
  <c r="L26" i="12"/>
  <c r="M26" i="12"/>
  <c r="N26" i="12"/>
  <c r="O26" i="12"/>
  <c r="P26" i="12"/>
  <c r="Q26" i="12"/>
  <c r="R26" i="12"/>
  <c r="I37" i="12" a="1"/>
  <c r="I37" i="12" s="1"/>
  <c r="I26" i="12"/>
  <c r="R12" i="22"/>
  <c r="T12" i="22"/>
  <c r="S12" i="22"/>
  <c r="Q12" i="22"/>
  <c r="R13" i="22" a="1"/>
  <c r="R13" i="22" s="1"/>
  <c r="T13" i="22" l="1" a="1"/>
  <c r="T13" i="22" s="1"/>
  <c r="S13" i="22" a="1"/>
  <c r="S13" i="22" s="1"/>
  <c r="Q13" i="22" a="1"/>
  <c r="Q13" i="22" s="1"/>
  <c r="G4" i="29"/>
  <c r="G3" i="29"/>
  <c r="J40" i="25" l="1"/>
  <c r="K40" i="25"/>
  <c r="L40" i="25"/>
  <c r="M40" i="25"/>
  <c r="N40" i="25"/>
  <c r="O40" i="25"/>
  <c r="P40" i="25"/>
  <c r="Q40" i="25"/>
  <c r="R40" i="25"/>
  <c r="J40" i="24"/>
  <c r="K40" i="24"/>
  <c r="L40" i="24"/>
  <c r="M40" i="24"/>
  <c r="N40" i="24"/>
  <c r="O40" i="24"/>
  <c r="P40" i="24"/>
  <c r="Q40" i="24"/>
  <c r="R40" i="24"/>
  <c r="J40" i="23"/>
  <c r="K40" i="23"/>
  <c r="L40" i="23"/>
  <c r="M40" i="23"/>
  <c r="N40" i="23"/>
  <c r="O40" i="23"/>
  <c r="P40" i="23"/>
  <c r="Q40" i="23"/>
  <c r="R40" i="23"/>
  <c r="I40" i="25"/>
  <c r="I40" i="24"/>
  <c r="I40" i="23"/>
  <c r="I40" i="12"/>
  <c r="J40" i="12" l="1"/>
  <c r="K40" i="12"/>
  <c r="L40" i="12"/>
  <c r="M40" i="12"/>
  <c r="N40" i="12"/>
  <c r="O40" i="12"/>
  <c r="P40" i="12"/>
  <c r="Q40" i="12"/>
  <c r="R40" i="12"/>
  <c r="K14" i="27"/>
  <c r="E14" i="27"/>
  <c r="D12" i="27"/>
  <c r="D11" i="27"/>
  <c r="D10" i="27"/>
  <c r="G4" i="27"/>
  <c r="G3" i="27"/>
  <c r="G4" i="20"/>
  <c r="G3" i="20"/>
  <c r="G4" i="22"/>
  <c r="G3" i="22"/>
  <c r="G4" i="21"/>
  <c r="G3" i="21"/>
  <c r="G4" i="25"/>
  <c r="G3" i="25"/>
  <c r="G4" i="24"/>
  <c r="G3" i="24"/>
  <c r="G4" i="23"/>
  <c r="G3" i="23"/>
  <c r="G4" i="12"/>
  <c r="G3" i="12"/>
  <c r="P22" i="27" l="1"/>
  <c r="M22" i="27"/>
  <c r="J22" i="27"/>
  <c r="G22" i="27"/>
  <c r="N229" i="25"/>
  <c r="Q228" i="25"/>
  <c r="L226" i="25"/>
  <c r="O225" i="25"/>
  <c r="J223" i="25"/>
  <c r="M222" i="25"/>
  <c r="I217" i="25"/>
  <c r="R214" i="25"/>
  <c r="Q214" i="25"/>
  <c r="P214" i="25"/>
  <c r="O214" i="25"/>
  <c r="N214" i="25"/>
  <c r="M214" i="25"/>
  <c r="L214" i="25"/>
  <c r="K214" i="25"/>
  <c r="J214" i="25"/>
  <c r="I214" i="25"/>
  <c r="R213" i="25"/>
  <c r="Q213" i="25"/>
  <c r="P213" i="25"/>
  <c r="O213" i="25"/>
  <c r="N213" i="25"/>
  <c r="M213" i="25"/>
  <c r="L213" i="25"/>
  <c r="K213" i="25"/>
  <c r="J213" i="25"/>
  <c r="I213" i="25"/>
  <c r="R212" i="25"/>
  <c r="Q212" i="25"/>
  <c r="P212" i="25"/>
  <c r="O212" i="25"/>
  <c r="N212" i="25"/>
  <c r="M212" i="25"/>
  <c r="L212" i="25"/>
  <c r="K212" i="25"/>
  <c r="J212" i="25"/>
  <c r="I212" i="25"/>
  <c r="R211" i="25"/>
  <c r="Q211" i="25"/>
  <c r="P211" i="25"/>
  <c r="O211" i="25"/>
  <c r="N211" i="25"/>
  <c r="M211" i="25"/>
  <c r="L211" i="25"/>
  <c r="K211" i="25"/>
  <c r="J211" i="25"/>
  <c r="I211" i="25"/>
  <c r="R210" i="25"/>
  <c r="Q210" i="25"/>
  <c r="P210" i="25"/>
  <c r="O210" i="25"/>
  <c r="N210" i="25"/>
  <c r="M210" i="25"/>
  <c r="L210" i="25"/>
  <c r="K210" i="25"/>
  <c r="J210" i="25"/>
  <c r="I210" i="25"/>
  <c r="R209" i="25"/>
  <c r="Q209" i="25"/>
  <c r="P209" i="25"/>
  <c r="O209" i="25"/>
  <c r="N209" i="25"/>
  <c r="M209" i="25"/>
  <c r="L209" i="25"/>
  <c r="K209" i="25"/>
  <c r="J209" i="25"/>
  <c r="I209" i="25"/>
  <c r="R208" i="25"/>
  <c r="Q208" i="25"/>
  <c r="P208" i="25"/>
  <c r="O208" i="25"/>
  <c r="N208" i="25"/>
  <c r="M208" i="25"/>
  <c r="L208" i="25"/>
  <c r="K208" i="25"/>
  <c r="J208" i="25"/>
  <c r="I208" i="25"/>
  <c r="R207" i="25"/>
  <c r="Q207" i="25"/>
  <c r="P207" i="25"/>
  <c r="O207" i="25"/>
  <c r="N207" i="25"/>
  <c r="M207" i="25"/>
  <c r="L207" i="25"/>
  <c r="K207" i="25"/>
  <c r="J207" i="25"/>
  <c r="I207" i="25"/>
  <c r="R206" i="25"/>
  <c r="Q206" i="25"/>
  <c r="P206" i="25"/>
  <c r="O206" i="25"/>
  <c r="N206" i="25"/>
  <c r="M206" i="25"/>
  <c r="L206" i="25"/>
  <c r="K206" i="25"/>
  <c r="J206" i="25"/>
  <c r="I206" i="25"/>
  <c r="R205" i="25"/>
  <c r="Q205" i="25"/>
  <c r="Q215" i="25" s="1"/>
  <c r="P205" i="25"/>
  <c r="O205" i="25"/>
  <c r="N205" i="25"/>
  <c r="M205" i="25"/>
  <c r="L205" i="25"/>
  <c r="K205" i="25"/>
  <c r="J205" i="25"/>
  <c r="I205" i="25"/>
  <c r="I215" i="25" s="1"/>
  <c r="I201" i="25"/>
  <c r="P195" i="25"/>
  <c r="Q192" i="25"/>
  <c r="N192" i="25"/>
  <c r="O189" i="25"/>
  <c r="L189" i="25"/>
  <c r="M186" i="25"/>
  <c r="J186" i="25"/>
  <c r="R179" i="25"/>
  <c r="Q179" i="25"/>
  <c r="P179" i="25"/>
  <c r="O179" i="25"/>
  <c r="N179" i="25"/>
  <c r="M179" i="25"/>
  <c r="L179" i="25"/>
  <c r="K179" i="25"/>
  <c r="J179" i="25"/>
  <c r="I179" i="25"/>
  <c r="R178" i="25"/>
  <c r="Q178" i="25"/>
  <c r="P178" i="25"/>
  <c r="O178" i="25"/>
  <c r="N178" i="25"/>
  <c r="M178" i="25"/>
  <c r="L178" i="25"/>
  <c r="K178" i="25"/>
  <c r="J178" i="25"/>
  <c r="I178" i="25"/>
  <c r="R177" i="25"/>
  <c r="Q177" i="25"/>
  <c r="P177" i="25"/>
  <c r="O177" i="25"/>
  <c r="N177" i="25"/>
  <c r="M177" i="25"/>
  <c r="L177" i="25"/>
  <c r="K177" i="25"/>
  <c r="J177" i="25"/>
  <c r="I177" i="25"/>
  <c r="R176" i="25"/>
  <c r="Q176" i="25"/>
  <c r="P176" i="25"/>
  <c r="O176" i="25"/>
  <c r="N176" i="25"/>
  <c r="M176" i="25"/>
  <c r="L176" i="25"/>
  <c r="K176" i="25"/>
  <c r="J176" i="25"/>
  <c r="I176" i="25"/>
  <c r="R175" i="25"/>
  <c r="Q175" i="25"/>
  <c r="P175" i="25"/>
  <c r="O175" i="25"/>
  <c r="N175" i="25"/>
  <c r="M175" i="25"/>
  <c r="L175" i="25"/>
  <c r="K175" i="25"/>
  <c r="J175" i="25"/>
  <c r="I175" i="25"/>
  <c r="R174" i="25"/>
  <c r="Q174" i="25"/>
  <c r="P174" i="25"/>
  <c r="O174" i="25"/>
  <c r="N174" i="25"/>
  <c r="M174" i="25"/>
  <c r="L174" i="25"/>
  <c r="K174" i="25"/>
  <c r="J174" i="25"/>
  <c r="I174" i="25"/>
  <c r="R173" i="25"/>
  <c r="Q173" i="25"/>
  <c r="P173" i="25"/>
  <c r="O173" i="25"/>
  <c r="N173" i="25"/>
  <c r="M173" i="25"/>
  <c r="L173" i="25"/>
  <c r="K173" i="25"/>
  <c r="J173" i="25"/>
  <c r="I173" i="25"/>
  <c r="R172" i="25"/>
  <c r="Q172" i="25"/>
  <c r="P172" i="25"/>
  <c r="O172" i="25"/>
  <c r="N172" i="25"/>
  <c r="M172" i="25"/>
  <c r="L172" i="25"/>
  <c r="K172" i="25"/>
  <c r="J172" i="25"/>
  <c r="I172" i="25"/>
  <c r="R171" i="25"/>
  <c r="Q171" i="25"/>
  <c r="P171" i="25"/>
  <c r="O171" i="25"/>
  <c r="N171" i="25"/>
  <c r="M171" i="25"/>
  <c r="L171" i="25"/>
  <c r="K171" i="25"/>
  <c r="J171" i="25"/>
  <c r="I171" i="25"/>
  <c r="R170" i="25"/>
  <c r="Q170" i="25"/>
  <c r="P170" i="25"/>
  <c r="O170" i="25"/>
  <c r="N170" i="25"/>
  <c r="M170" i="25"/>
  <c r="M180" i="25" s="1"/>
  <c r="L170" i="25"/>
  <c r="K170" i="25"/>
  <c r="J170" i="25"/>
  <c r="I170" i="25"/>
  <c r="R167" i="25"/>
  <c r="Q167" i="25"/>
  <c r="Q156" i="25" s="1"/>
  <c r="P167" i="25"/>
  <c r="P156" i="25" s="1"/>
  <c r="O167" i="25"/>
  <c r="O156" i="25" s="1"/>
  <c r="N167" i="25"/>
  <c r="N156" i="25" s="1"/>
  <c r="M167" i="25"/>
  <c r="M156" i="25" s="1"/>
  <c r="L167" i="25"/>
  <c r="K167" i="25"/>
  <c r="J167" i="25"/>
  <c r="J156" i="25" s="1"/>
  <c r="I167" i="25"/>
  <c r="I156" i="25" s="1"/>
  <c r="R156" i="25"/>
  <c r="L156" i="25"/>
  <c r="K156" i="25"/>
  <c r="R155" i="25"/>
  <c r="Q155" i="25"/>
  <c r="P155" i="25"/>
  <c r="O155" i="25"/>
  <c r="N155" i="25"/>
  <c r="M155" i="25"/>
  <c r="L155" i="25"/>
  <c r="K155" i="25"/>
  <c r="J155" i="25"/>
  <c r="R195" i="25"/>
  <c r="Q231" i="25"/>
  <c r="P231" i="25"/>
  <c r="O231" i="25"/>
  <c r="N231" i="25"/>
  <c r="M195" i="25"/>
  <c r="L231" i="25"/>
  <c r="K195" i="25"/>
  <c r="J195" i="25"/>
  <c r="I231" i="25"/>
  <c r="R230" i="25"/>
  <c r="Q230" i="25"/>
  <c r="P230" i="25"/>
  <c r="O194" i="25"/>
  <c r="N230" i="25"/>
  <c r="M194" i="25"/>
  <c r="L194" i="25"/>
  <c r="K230" i="25"/>
  <c r="J230" i="25"/>
  <c r="I230" i="25"/>
  <c r="R229" i="25"/>
  <c r="Q193" i="25"/>
  <c r="P229" i="25"/>
  <c r="O193" i="25"/>
  <c r="N193" i="25"/>
  <c r="M229" i="25"/>
  <c r="L229" i="25"/>
  <c r="K229" i="25"/>
  <c r="J229" i="25"/>
  <c r="I193" i="25"/>
  <c r="R228" i="25"/>
  <c r="P192" i="25"/>
  <c r="O228" i="25"/>
  <c r="N228" i="25"/>
  <c r="M228" i="25"/>
  <c r="L228" i="25"/>
  <c r="K192" i="25"/>
  <c r="J228" i="25"/>
  <c r="I192" i="25"/>
  <c r="R191" i="25"/>
  <c r="Q227" i="25"/>
  <c r="P227" i="25"/>
  <c r="O227" i="25"/>
  <c r="N227" i="25"/>
  <c r="M191" i="25"/>
  <c r="L227" i="25"/>
  <c r="K191" i="25"/>
  <c r="J191" i="25"/>
  <c r="I227" i="25"/>
  <c r="R226" i="25"/>
  <c r="Q226" i="25"/>
  <c r="P226" i="25"/>
  <c r="O190" i="25"/>
  <c r="N226" i="25"/>
  <c r="M190" i="25"/>
  <c r="L190" i="25"/>
  <c r="K226" i="25"/>
  <c r="J226" i="25"/>
  <c r="I226" i="25"/>
  <c r="R225" i="25"/>
  <c r="Q189" i="25"/>
  <c r="P225" i="25"/>
  <c r="N189" i="25"/>
  <c r="M225" i="25"/>
  <c r="L225" i="25"/>
  <c r="K225" i="25"/>
  <c r="J225" i="25"/>
  <c r="I189" i="25"/>
  <c r="R224" i="25"/>
  <c r="Q188" i="25"/>
  <c r="P188" i="25"/>
  <c r="O224" i="25"/>
  <c r="N224" i="25"/>
  <c r="M224" i="25"/>
  <c r="L224" i="25"/>
  <c r="K188" i="25"/>
  <c r="J224" i="25"/>
  <c r="I188" i="25"/>
  <c r="R187" i="25"/>
  <c r="Q223" i="25"/>
  <c r="P223" i="25"/>
  <c r="O223" i="25"/>
  <c r="N223" i="25"/>
  <c r="M187" i="25"/>
  <c r="L223" i="25"/>
  <c r="K187" i="25"/>
  <c r="J187" i="25"/>
  <c r="I223" i="25"/>
  <c r="R222" i="25"/>
  <c r="Q222" i="25"/>
  <c r="P222" i="25"/>
  <c r="O186" i="25"/>
  <c r="N222" i="25"/>
  <c r="L186" i="25"/>
  <c r="K222" i="25"/>
  <c r="J222" i="25"/>
  <c r="I222" i="25"/>
  <c r="I229" i="24"/>
  <c r="R228" i="24"/>
  <c r="Q225" i="24"/>
  <c r="P225" i="24"/>
  <c r="O222" i="24"/>
  <c r="N222" i="24"/>
  <c r="I217" i="24"/>
  <c r="R214" i="24"/>
  <c r="Q214" i="24"/>
  <c r="P214" i="24"/>
  <c r="O214" i="24"/>
  <c r="N214" i="24"/>
  <c r="M214" i="24"/>
  <c r="L214" i="24"/>
  <c r="K214" i="24"/>
  <c r="J214" i="24"/>
  <c r="I214" i="24"/>
  <c r="R213" i="24"/>
  <c r="Q213" i="24"/>
  <c r="P213" i="24"/>
  <c r="O213" i="24"/>
  <c r="N213" i="24"/>
  <c r="M213" i="24"/>
  <c r="L213" i="24"/>
  <c r="K213" i="24"/>
  <c r="J213" i="24"/>
  <c r="I213" i="24"/>
  <c r="R212" i="24"/>
  <c r="Q212" i="24"/>
  <c r="P212" i="24"/>
  <c r="O212" i="24"/>
  <c r="N212" i="24"/>
  <c r="M212" i="24"/>
  <c r="L212" i="24"/>
  <c r="K212" i="24"/>
  <c r="J212" i="24"/>
  <c r="I212" i="24"/>
  <c r="R211" i="24"/>
  <c r="Q211" i="24"/>
  <c r="P211" i="24"/>
  <c r="O211" i="24"/>
  <c r="N211" i="24"/>
  <c r="M211" i="24"/>
  <c r="L211" i="24"/>
  <c r="K211" i="24"/>
  <c r="J211" i="24"/>
  <c r="I211" i="24"/>
  <c r="R210" i="24"/>
  <c r="Q210" i="24"/>
  <c r="P210" i="24"/>
  <c r="O210" i="24"/>
  <c r="N210" i="24"/>
  <c r="M210" i="24"/>
  <c r="L210" i="24"/>
  <c r="K210" i="24"/>
  <c r="J210" i="24"/>
  <c r="I210" i="24"/>
  <c r="R209" i="24"/>
  <c r="Q209" i="24"/>
  <c r="P209" i="24"/>
  <c r="O209" i="24"/>
  <c r="N209" i="24"/>
  <c r="M209" i="24"/>
  <c r="L209" i="24"/>
  <c r="K209" i="24"/>
  <c r="J209" i="24"/>
  <c r="I209" i="24"/>
  <c r="R208" i="24"/>
  <c r="Q208" i="24"/>
  <c r="P208" i="24"/>
  <c r="O208" i="24"/>
  <c r="N208" i="24"/>
  <c r="M208" i="24"/>
  <c r="L208" i="24"/>
  <c r="K208" i="24"/>
  <c r="J208" i="24"/>
  <c r="I208" i="24"/>
  <c r="R207" i="24"/>
  <c r="Q207" i="24"/>
  <c r="P207" i="24"/>
  <c r="O207" i="24"/>
  <c r="N207" i="24"/>
  <c r="M207" i="24"/>
  <c r="L207" i="24"/>
  <c r="K207" i="24"/>
  <c r="J207" i="24"/>
  <c r="I207" i="24"/>
  <c r="R206" i="24"/>
  <c r="Q206" i="24"/>
  <c r="P206" i="24"/>
  <c r="O206" i="24"/>
  <c r="N206" i="24"/>
  <c r="M206" i="24"/>
  <c r="L206" i="24"/>
  <c r="K206" i="24"/>
  <c r="J206" i="24"/>
  <c r="I206" i="24"/>
  <c r="R205" i="24"/>
  <c r="Q205" i="24"/>
  <c r="P205" i="24"/>
  <c r="O205" i="24"/>
  <c r="N205" i="24"/>
  <c r="M205" i="24"/>
  <c r="L205" i="24"/>
  <c r="K205" i="24"/>
  <c r="J205" i="24"/>
  <c r="I205" i="24"/>
  <c r="I201" i="24"/>
  <c r="M195" i="24"/>
  <c r="O194" i="24"/>
  <c r="M191" i="24"/>
  <c r="I189" i="24"/>
  <c r="K188" i="24"/>
  <c r="R179" i="24"/>
  <c r="Q179" i="24"/>
  <c r="P179" i="24"/>
  <c r="O179" i="24"/>
  <c r="N179" i="24"/>
  <c r="M179" i="24"/>
  <c r="L179" i="24"/>
  <c r="K179" i="24"/>
  <c r="J179" i="24"/>
  <c r="I179" i="24"/>
  <c r="R178" i="24"/>
  <c r="Q178" i="24"/>
  <c r="P178" i="24"/>
  <c r="O178" i="24"/>
  <c r="N178" i="24"/>
  <c r="M178" i="24"/>
  <c r="L178" i="24"/>
  <c r="K178" i="24"/>
  <c r="J178" i="24"/>
  <c r="I178" i="24"/>
  <c r="R177" i="24"/>
  <c r="Q177" i="24"/>
  <c r="P177" i="24"/>
  <c r="O177" i="24"/>
  <c r="N177" i="24"/>
  <c r="M177" i="24"/>
  <c r="L177" i="24"/>
  <c r="K177" i="24"/>
  <c r="J177" i="24"/>
  <c r="I177" i="24"/>
  <c r="R176" i="24"/>
  <c r="Q176" i="24"/>
  <c r="P176" i="24"/>
  <c r="O176" i="24"/>
  <c r="N176" i="24"/>
  <c r="M176" i="24"/>
  <c r="L176" i="24"/>
  <c r="K176" i="24"/>
  <c r="J176" i="24"/>
  <c r="I176" i="24"/>
  <c r="R175" i="24"/>
  <c r="Q175" i="24"/>
  <c r="P175" i="24"/>
  <c r="O175" i="24"/>
  <c r="N175" i="24"/>
  <c r="M175" i="24"/>
  <c r="L175" i="24"/>
  <c r="K175" i="24"/>
  <c r="J175" i="24"/>
  <c r="I175" i="24"/>
  <c r="R174" i="24"/>
  <c r="Q174" i="24"/>
  <c r="P174" i="24"/>
  <c r="O174" i="24"/>
  <c r="N174" i="24"/>
  <c r="M174" i="24"/>
  <c r="L174" i="24"/>
  <c r="K174" i="24"/>
  <c r="J174" i="24"/>
  <c r="I174" i="24"/>
  <c r="R173" i="24"/>
  <c r="Q173" i="24"/>
  <c r="P173" i="24"/>
  <c r="O173" i="24"/>
  <c r="N173" i="24"/>
  <c r="M173" i="24"/>
  <c r="L173" i="24"/>
  <c r="K173" i="24"/>
  <c r="J173" i="24"/>
  <c r="I173" i="24"/>
  <c r="R172" i="24"/>
  <c r="Q172" i="24"/>
  <c r="P172" i="24"/>
  <c r="O172" i="24"/>
  <c r="N172" i="24"/>
  <c r="M172" i="24"/>
  <c r="L172" i="24"/>
  <c r="K172" i="24"/>
  <c r="J172" i="24"/>
  <c r="I172" i="24"/>
  <c r="R171" i="24"/>
  <c r="Q171" i="24"/>
  <c r="P171" i="24"/>
  <c r="O171" i="24"/>
  <c r="N171" i="24"/>
  <c r="M171" i="24"/>
  <c r="L171" i="24"/>
  <c r="K171" i="24"/>
  <c r="J171" i="24"/>
  <c r="I171" i="24"/>
  <c r="R170" i="24"/>
  <c r="Q170" i="24"/>
  <c r="P170" i="24"/>
  <c r="O170" i="24"/>
  <c r="N170" i="24"/>
  <c r="M170" i="24"/>
  <c r="L170" i="24"/>
  <c r="K170" i="24"/>
  <c r="J170" i="24"/>
  <c r="I170" i="24"/>
  <c r="R167" i="24"/>
  <c r="R156" i="24" s="1"/>
  <c r="Q167" i="24"/>
  <c r="Q156" i="24" s="1"/>
  <c r="P167" i="24"/>
  <c r="P156" i="24" s="1"/>
  <c r="O167" i="24"/>
  <c r="O156" i="24" s="1"/>
  <c r="N167" i="24"/>
  <c r="N156" i="24" s="1"/>
  <c r="M167" i="24"/>
  <c r="M156" i="24" s="1"/>
  <c r="L167" i="24"/>
  <c r="L156" i="24" s="1"/>
  <c r="K167" i="24"/>
  <c r="K156" i="24" s="1"/>
  <c r="J167" i="24"/>
  <c r="J156" i="24" s="1"/>
  <c r="I167" i="24"/>
  <c r="I156" i="24" s="1"/>
  <c r="R155" i="24"/>
  <c r="Q155" i="24"/>
  <c r="P155" i="24"/>
  <c r="O155" i="24"/>
  <c r="N155" i="24"/>
  <c r="M155" i="24"/>
  <c r="L155" i="24"/>
  <c r="K155" i="24"/>
  <c r="J155" i="24"/>
  <c r="R231" i="24"/>
  <c r="Q231" i="24"/>
  <c r="P231" i="24"/>
  <c r="O231" i="24"/>
  <c r="N195" i="24"/>
  <c r="M231" i="24"/>
  <c r="L195" i="24"/>
  <c r="K231" i="24"/>
  <c r="J231" i="24"/>
  <c r="I231" i="24"/>
  <c r="R230" i="24"/>
  <c r="Q230" i="24"/>
  <c r="P230" i="24"/>
  <c r="O230" i="24"/>
  <c r="N194" i="24"/>
  <c r="M230" i="24"/>
  <c r="L230" i="24"/>
  <c r="K230" i="24"/>
  <c r="J230" i="24"/>
  <c r="I230" i="24"/>
  <c r="R193" i="24"/>
  <c r="Q229" i="24"/>
  <c r="P193" i="24"/>
  <c r="O229" i="24"/>
  <c r="N229" i="24"/>
  <c r="M229" i="24"/>
  <c r="L229" i="24"/>
  <c r="K229" i="24"/>
  <c r="J193" i="24"/>
  <c r="I193" i="24"/>
  <c r="R192" i="24"/>
  <c r="Q228" i="24"/>
  <c r="P228" i="24"/>
  <c r="O228" i="24"/>
  <c r="N228" i="24"/>
  <c r="M228" i="24"/>
  <c r="L192" i="24"/>
  <c r="K192" i="24"/>
  <c r="J192" i="24"/>
  <c r="I228" i="24"/>
  <c r="R227" i="24"/>
  <c r="Q227" i="24"/>
  <c r="P227" i="24"/>
  <c r="O227" i="24"/>
  <c r="N191" i="24"/>
  <c r="M227" i="24"/>
  <c r="L191" i="24"/>
  <c r="K227" i="24"/>
  <c r="J227" i="24"/>
  <c r="I227" i="24"/>
  <c r="R226" i="24"/>
  <c r="Q226" i="24"/>
  <c r="P190" i="24"/>
  <c r="O226" i="24"/>
  <c r="N190" i="24"/>
  <c r="M226" i="24"/>
  <c r="L226" i="24"/>
  <c r="K226" i="24"/>
  <c r="J226" i="24"/>
  <c r="I226" i="24"/>
  <c r="R189" i="24"/>
  <c r="Q189" i="24"/>
  <c r="P189" i="24"/>
  <c r="O225" i="24"/>
  <c r="N225" i="24"/>
  <c r="M225" i="24"/>
  <c r="L225" i="24"/>
  <c r="K225" i="24"/>
  <c r="J225" i="24"/>
  <c r="I225" i="24"/>
  <c r="R188" i="24"/>
  <c r="Q224" i="24"/>
  <c r="P224" i="24"/>
  <c r="O224" i="24"/>
  <c r="N224" i="24"/>
  <c r="M224" i="24"/>
  <c r="L188" i="24"/>
  <c r="K224" i="24"/>
  <c r="J188" i="24"/>
  <c r="I224" i="24"/>
  <c r="R223" i="24"/>
  <c r="Q223" i="24"/>
  <c r="P223" i="24"/>
  <c r="O223" i="24"/>
  <c r="N187" i="24"/>
  <c r="M223" i="24"/>
  <c r="L187" i="24"/>
  <c r="K223" i="24"/>
  <c r="J223" i="24"/>
  <c r="I223" i="24"/>
  <c r="R222" i="24"/>
  <c r="Q222" i="24"/>
  <c r="P186" i="24"/>
  <c r="O186" i="24"/>
  <c r="N186" i="24"/>
  <c r="M222" i="24"/>
  <c r="L222" i="24"/>
  <c r="K222" i="24"/>
  <c r="J222" i="24"/>
  <c r="I222" i="24"/>
  <c r="O231" i="23"/>
  <c r="Q230" i="23"/>
  <c r="M228" i="23"/>
  <c r="O227" i="23"/>
  <c r="K225" i="23"/>
  <c r="M224" i="23"/>
  <c r="I222" i="23"/>
  <c r="I217" i="23"/>
  <c r="R214" i="23"/>
  <c r="Q214" i="23"/>
  <c r="P214" i="23"/>
  <c r="O214" i="23"/>
  <c r="N214" i="23"/>
  <c r="M214" i="23"/>
  <c r="L214" i="23"/>
  <c r="K214" i="23"/>
  <c r="J214" i="23"/>
  <c r="I214" i="23"/>
  <c r="R213" i="23"/>
  <c r="Q213" i="23"/>
  <c r="P213" i="23"/>
  <c r="O213" i="23"/>
  <c r="N213" i="23"/>
  <c r="M213" i="23"/>
  <c r="L213" i="23"/>
  <c r="K213" i="23"/>
  <c r="J213" i="23"/>
  <c r="I213" i="23"/>
  <c r="R212" i="23"/>
  <c r="Q212" i="23"/>
  <c r="P212" i="23"/>
  <c r="O212" i="23"/>
  <c r="N212" i="23"/>
  <c r="M212" i="23"/>
  <c r="L212" i="23"/>
  <c r="K212" i="23"/>
  <c r="J212" i="23"/>
  <c r="I212" i="23"/>
  <c r="R211" i="23"/>
  <c r="Q211" i="23"/>
  <c r="P211" i="23"/>
  <c r="O211" i="23"/>
  <c r="N211" i="23"/>
  <c r="M211" i="23"/>
  <c r="L211" i="23"/>
  <c r="K211" i="23"/>
  <c r="J211" i="23"/>
  <c r="I211" i="23"/>
  <c r="R210" i="23"/>
  <c r="Q210" i="23"/>
  <c r="P210" i="23"/>
  <c r="O210" i="23"/>
  <c r="N210" i="23"/>
  <c r="M210" i="23"/>
  <c r="L210" i="23"/>
  <c r="K210" i="23"/>
  <c r="J210" i="23"/>
  <c r="I210" i="23"/>
  <c r="R209" i="23"/>
  <c r="Q209" i="23"/>
  <c r="P209" i="23"/>
  <c r="O209" i="23"/>
  <c r="N209" i="23"/>
  <c r="M209" i="23"/>
  <c r="L209" i="23"/>
  <c r="K209" i="23"/>
  <c r="J209" i="23"/>
  <c r="I209" i="23"/>
  <c r="R208" i="23"/>
  <c r="Q208" i="23"/>
  <c r="P208" i="23"/>
  <c r="O208" i="23"/>
  <c r="N208" i="23"/>
  <c r="M208" i="23"/>
  <c r="L208" i="23"/>
  <c r="K208" i="23"/>
  <c r="J208" i="23"/>
  <c r="I208" i="23"/>
  <c r="R207" i="23"/>
  <c r="Q207" i="23"/>
  <c r="P207" i="23"/>
  <c r="O207" i="23"/>
  <c r="N207" i="23"/>
  <c r="M207" i="23"/>
  <c r="L207" i="23"/>
  <c r="K207" i="23"/>
  <c r="J207" i="23"/>
  <c r="I207" i="23"/>
  <c r="R206" i="23"/>
  <c r="Q206" i="23"/>
  <c r="P206" i="23"/>
  <c r="O206" i="23"/>
  <c r="N206" i="23"/>
  <c r="M206" i="23"/>
  <c r="L206" i="23"/>
  <c r="K206" i="23"/>
  <c r="J206" i="23"/>
  <c r="I206" i="23"/>
  <c r="R205" i="23"/>
  <c r="Q205" i="23"/>
  <c r="P205" i="23"/>
  <c r="O205" i="23"/>
  <c r="N205" i="23"/>
  <c r="M205" i="23"/>
  <c r="L205" i="23"/>
  <c r="K205" i="23"/>
  <c r="J205" i="23"/>
  <c r="I205" i="23"/>
  <c r="I201" i="23"/>
  <c r="R194" i="23"/>
  <c r="L193" i="23"/>
  <c r="N188" i="23"/>
  <c r="R186" i="23"/>
  <c r="R179" i="23"/>
  <c r="Q179" i="23"/>
  <c r="P179" i="23"/>
  <c r="O179" i="23"/>
  <c r="N179" i="23"/>
  <c r="M179" i="23"/>
  <c r="L179" i="23"/>
  <c r="K179" i="23"/>
  <c r="J179" i="23"/>
  <c r="I179" i="23"/>
  <c r="R178" i="23"/>
  <c r="Q178" i="23"/>
  <c r="P178" i="23"/>
  <c r="O178" i="23"/>
  <c r="N178" i="23"/>
  <c r="M178" i="23"/>
  <c r="L178" i="23"/>
  <c r="K178" i="23"/>
  <c r="J178" i="23"/>
  <c r="I178" i="23"/>
  <c r="R177" i="23"/>
  <c r="Q177" i="23"/>
  <c r="P177" i="23"/>
  <c r="O177" i="23"/>
  <c r="N177" i="23"/>
  <c r="M177" i="23"/>
  <c r="L177" i="23"/>
  <c r="K177" i="23"/>
  <c r="J177" i="23"/>
  <c r="I177" i="23"/>
  <c r="R176" i="23"/>
  <c r="Q176" i="23"/>
  <c r="P176" i="23"/>
  <c r="O176" i="23"/>
  <c r="N176" i="23"/>
  <c r="M176" i="23"/>
  <c r="L176" i="23"/>
  <c r="K176" i="23"/>
  <c r="J176" i="23"/>
  <c r="I176" i="23"/>
  <c r="R175" i="23"/>
  <c r="Q175" i="23"/>
  <c r="P175" i="23"/>
  <c r="O175" i="23"/>
  <c r="N175" i="23"/>
  <c r="M175" i="23"/>
  <c r="L175" i="23"/>
  <c r="K175" i="23"/>
  <c r="J175" i="23"/>
  <c r="I175" i="23"/>
  <c r="R174" i="23"/>
  <c r="Q174" i="23"/>
  <c r="P174" i="23"/>
  <c r="O174" i="23"/>
  <c r="N174" i="23"/>
  <c r="M174" i="23"/>
  <c r="L174" i="23"/>
  <c r="K174" i="23"/>
  <c r="J174" i="23"/>
  <c r="I174" i="23"/>
  <c r="R173" i="23"/>
  <c r="Q173" i="23"/>
  <c r="P173" i="23"/>
  <c r="O173" i="23"/>
  <c r="N173" i="23"/>
  <c r="M173" i="23"/>
  <c r="L173" i="23"/>
  <c r="K173" i="23"/>
  <c r="J173" i="23"/>
  <c r="I173" i="23"/>
  <c r="R172" i="23"/>
  <c r="Q172" i="23"/>
  <c r="P172" i="23"/>
  <c r="O172" i="23"/>
  <c r="N172" i="23"/>
  <c r="M172" i="23"/>
  <c r="L172" i="23"/>
  <c r="K172" i="23"/>
  <c r="J172" i="23"/>
  <c r="I172" i="23"/>
  <c r="R171" i="23"/>
  <c r="Q171" i="23"/>
  <c r="P171" i="23"/>
  <c r="O171" i="23"/>
  <c r="N171" i="23"/>
  <c r="M171" i="23"/>
  <c r="L171" i="23"/>
  <c r="K171" i="23"/>
  <c r="J171" i="23"/>
  <c r="I171" i="23"/>
  <c r="R170" i="23"/>
  <c r="Q170" i="23"/>
  <c r="P170" i="23"/>
  <c r="O170" i="23"/>
  <c r="N170" i="23"/>
  <c r="M170" i="23"/>
  <c r="L170" i="23"/>
  <c r="K170" i="23"/>
  <c r="J170" i="23"/>
  <c r="I170" i="23"/>
  <c r="R167" i="23"/>
  <c r="R156" i="23" s="1"/>
  <c r="Q167" i="23"/>
  <c r="Q156" i="23" s="1"/>
  <c r="P167" i="23"/>
  <c r="P156" i="23" s="1"/>
  <c r="O167" i="23"/>
  <c r="O156" i="23" s="1"/>
  <c r="N167" i="23"/>
  <c r="N156" i="23" s="1"/>
  <c r="M167" i="23"/>
  <c r="M156" i="23" s="1"/>
  <c r="L167" i="23"/>
  <c r="L156" i="23" s="1"/>
  <c r="K167" i="23"/>
  <c r="K156" i="23" s="1"/>
  <c r="J167" i="23"/>
  <c r="J156" i="23" s="1"/>
  <c r="I167" i="23"/>
  <c r="I156" i="23" s="1"/>
  <c r="R155" i="23"/>
  <c r="Q155" i="23"/>
  <c r="P155" i="23"/>
  <c r="O155" i="23"/>
  <c r="N155" i="23"/>
  <c r="M155" i="23"/>
  <c r="L155" i="23"/>
  <c r="K155" i="23"/>
  <c r="J155" i="23"/>
  <c r="R231" i="23"/>
  <c r="Q231" i="23"/>
  <c r="P231" i="23"/>
  <c r="O195" i="23"/>
  <c r="N231" i="23"/>
  <c r="M195" i="23"/>
  <c r="L231" i="23"/>
  <c r="K231" i="23"/>
  <c r="J231" i="23"/>
  <c r="I195" i="23"/>
  <c r="R230" i="23"/>
  <c r="Q194" i="23"/>
  <c r="P230" i="23"/>
  <c r="O194" i="23"/>
  <c r="N230" i="23"/>
  <c r="M230" i="23"/>
  <c r="L230" i="23"/>
  <c r="K230" i="23"/>
  <c r="J230" i="23"/>
  <c r="I194" i="23"/>
  <c r="R229" i="23"/>
  <c r="Q193" i="23"/>
  <c r="P229" i="23"/>
  <c r="O229" i="23"/>
  <c r="N229" i="23"/>
  <c r="M193" i="23"/>
  <c r="L229" i="23"/>
  <c r="K193" i="23"/>
  <c r="J229" i="23"/>
  <c r="I193" i="23"/>
  <c r="R228" i="23"/>
  <c r="Q228" i="23"/>
  <c r="P228" i="23"/>
  <c r="O228" i="23"/>
  <c r="N192" i="23"/>
  <c r="M192" i="23"/>
  <c r="L228" i="23"/>
  <c r="K192" i="23"/>
  <c r="J228" i="23"/>
  <c r="I228" i="23"/>
  <c r="R227" i="23"/>
  <c r="Q227" i="23"/>
  <c r="P191" i="23"/>
  <c r="O191" i="23"/>
  <c r="N227" i="23"/>
  <c r="M191" i="23"/>
  <c r="L227" i="23"/>
  <c r="K227" i="23"/>
  <c r="J227" i="23"/>
  <c r="I227" i="23"/>
  <c r="R226" i="23"/>
  <c r="Q190" i="23"/>
  <c r="P226" i="23"/>
  <c r="O190" i="23"/>
  <c r="N226" i="23"/>
  <c r="M226" i="23"/>
  <c r="L226" i="23"/>
  <c r="K190" i="23"/>
  <c r="J226" i="23"/>
  <c r="I190" i="23"/>
  <c r="R225" i="23"/>
  <c r="Q189" i="23"/>
  <c r="P225" i="23"/>
  <c r="O225" i="23"/>
  <c r="N225" i="23"/>
  <c r="M189" i="23"/>
  <c r="L225" i="23"/>
  <c r="K189" i="23"/>
  <c r="J225" i="23"/>
  <c r="I189" i="23"/>
  <c r="R224" i="23"/>
  <c r="Q224" i="23"/>
  <c r="P224" i="23"/>
  <c r="O224" i="23"/>
  <c r="N224" i="23"/>
  <c r="M188" i="23"/>
  <c r="L224" i="23"/>
  <c r="K188" i="23"/>
  <c r="J224" i="23"/>
  <c r="I224" i="23"/>
  <c r="R223" i="23"/>
  <c r="Q223" i="23"/>
  <c r="P223" i="23"/>
  <c r="O187" i="23"/>
  <c r="N223" i="23"/>
  <c r="M187" i="23"/>
  <c r="L223" i="23"/>
  <c r="K223" i="23"/>
  <c r="J223" i="23"/>
  <c r="I223" i="23"/>
  <c r="R222" i="23"/>
  <c r="Q186" i="23"/>
  <c r="P222" i="23"/>
  <c r="O186" i="23"/>
  <c r="N222" i="23"/>
  <c r="M222" i="23"/>
  <c r="L222" i="23"/>
  <c r="K222" i="23"/>
  <c r="J186" i="23"/>
  <c r="I186" i="23"/>
  <c r="J222" i="12"/>
  <c r="K186" i="12"/>
  <c r="L186" i="12"/>
  <c r="M222" i="12"/>
  <c r="N186" i="12"/>
  <c r="O186" i="12"/>
  <c r="P222" i="12"/>
  <c r="Q186" i="12"/>
  <c r="R186" i="12"/>
  <c r="J187" i="12"/>
  <c r="K223" i="12"/>
  <c r="N187" i="12"/>
  <c r="O223" i="12"/>
  <c r="P187" i="12"/>
  <c r="Q187" i="12"/>
  <c r="R187" i="12"/>
  <c r="J188" i="12"/>
  <c r="K224" i="12"/>
  <c r="N224" i="12"/>
  <c r="O188" i="12"/>
  <c r="P224" i="12"/>
  <c r="Q224" i="12"/>
  <c r="R224" i="12"/>
  <c r="J225" i="12"/>
  <c r="M189" i="12"/>
  <c r="O225" i="12"/>
  <c r="P225" i="12"/>
  <c r="Q225" i="12"/>
  <c r="R225" i="12"/>
  <c r="J226" i="12"/>
  <c r="L226" i="12"/>
  <c r="M226" i="12"/>
  <c r="O190" i="12"/>
  <c r="P190" i="12"/>
  <c r="Q226" i="12"/>
  <c r="R190" i="12"/>
  <c r="J191" i="12"/>
  <c r="K191" i="12"/>
  <c r="L227" i="12"/>
  <c r="M227" i="12"/>
  <c r="N227" i="12"/>
  <c r="O191" i="12"/>
  <c r="R191" i="12"/>
  <c r="J192" i="12"/>
  <c r="L192" i="12"/>
  <c r="N228" i="12"/>
  <c r="P228" i="12"/>
  <c r="Q228" i="12"/>
  <c r="R192" i="12"/>
  <c r="J229" i="12"/>
  <c r="K193" i="12"/>
  <c r="L193" i="12"/>
  <c r="M193" i="12"/>
  <c r="O193" i="12"/>
  <c r="P193" i="12"/>
  <c r="Q193" i="12"/>
  <c r="R193" i="12"/>
  <c r="J230" i="12"/>
  <c r="K194" i="12"/>
  <c r="L230" i="12"/>
  <c r="N194" i="12"/>
  <c r="O194" i="12"/>
  <c r="Q194" i="12"/>
  <c r="R194" i="12"/>
  <c r="J231" i="12"/>
  <c r="K231" i="12"/>
  <c r="M231" i="12"/>
  <c r="O195" i="12"/>
  <c r="R195" i="12"/>
  <c r="O155" i="12"/>
  <c r="P155" i="12"/>
  <c r="Q155" i="12"/>
  <c r="R155" i="12"/>
  <c r="O167" i="12"/>
  <c r="O156" i="12" s="1"/>
  <c r="P167" i="12"/>
  <c r="P156" i="12" s="1"/>
  <c r="Q167" i="12"/>
  <c r="Q156" i="12" s="1"/>
  <c r="R167" i="12"/>
  <c r="R156" i="12" s="1"/>
  <c r="O170" i="12"/>
  <c r="P170" i="12"/>
  <c r="Q170" i="12"/>
  <c r="R170" i="12"/>
  <c r="O171" i="12"/>
  <c r="P171" i="12"/>
  <c r="Q171" i="12"/>
  <c r="R171" i="12"/>
  <c r="O172" i="12"/>
  <c r="P172" i="12"/>
  <c r="Q172" i="12"/>
  <c r="R172" i="12"/>
  <c r="O173" i="12"/>
  <c r="P173" i="12"/>
  <c r="Q173" i="12"/>
  <c r="R173" i="12"/>
  <c r="O174" i="12"/>
  <c r="P174" i="12"/>
  <c r="Q174" i="12"/>
  <c r="R174" i="12"/>
  <c r="O175" i="12"/>
  <c r="P175" i="12"/>
  <c r="Q175" i="12"/>
  <c r="R175" i="12"/>
  <c r="O176" i="12"/>
  <c r="P176" i="12"/>
  <c r="Q176" i="12"/>
  <c r="R176" i="12"/>
  <c r="O177" i="12"/>
  <c r="P177" i="12"/>
  <c r="Q177" i="12"/>
  <c r="R177" i="12"/>
  <c r="O178" i="12"/>
  <c r="P178" i="12"/>
  <c r="Q178" i="12"/>
  <c r="R178" i="12"/>
  <c r="O179" i="12"/>
  <c r="P179" i="12"/>
  <c r="Q179" i="12"/>
  <c r="R179" i="12"/>
  <c r="P186" i="12"/>
  <c r="P188" i="12"/>
  <c r="O189" i="12"/>
  <c r="Q189" i="12"/>
  <c r="R189" i="12"/>
  <c r="Q190" i="12"/>
  <c r="P191" i="12"/>
  <c r="Q191" i="12"/>
  <c r="O192" i="12"/>
  <c r="P192" i="12"/>
  <c r="Q192" i="12"/>
  <c r="P194" i="12"/>
  <c r="P195" i="12"/>
  <c r="Q195" i="12"/>
  <c r="O205" i="12"/>
  <c r="P205" i="12"/>
  <c r="Q205" i="12"/>
  <c r="R205" i="12"/>
  <c r="O206" i="12"/>
  <c r="P206" i="12"/>
  <c r="Q206" i="12"/>
  <c r="R206" i="12"/>
  <c r="O207" i="12"/>
  <c r="P207" i="12"/>
  <c r="Q207" i="12"/>
  <c r="R207" i="12"/>
  <c r="O208" i="12"/>
  <c r="P208" i="12"/>
  <c r="Q208" i="12"/>
  <c r="R208" i="12"/>
  <c r="O209" i="12"/>
  <c r="P209" i="12"/>
  <c r="Q209" i="12"/>
  <c r="R209" i="12"/>
  <c r="O210" i="12"/>
  <c r="P210" i="12"/>
  <c r="Q210" i="12"/>
  <c r="R210" i="12"/>
  <c r="O211" i="12"/>
  <c r="P211" i="12"/>
  <c r="Q211" i="12"/>
  <c r="R211" i="12"/>
  <c r="O212" i="12"/>
  <c r="P212" i="12"/>
  <c r="Q212" i="12"/>
  <c r="R212" i="12"/>
  <c r="O213" i="12"/>
  <c r="P213" i="12"/>
  <c r="Q213" i="12"/>
  <c r="R213" i="12"/>
  <c r="O214" i="12"/>
  <c r="P214" i="12"/>
  <c r="Q214" i="12"/>
  <c r="R214" i="12"/>
  <c r="P223" i="12"/>
  <c r="Q223" i="12"/>
  <c r="R223" i="12"/>
  <c r="O224" i="12"/>
  <c r="P227" i="12"/>
  <c r="Q227" i="12"/>
  <c r="R227" i="12"/>
  <c r="O228" i="12"/>
  <c r="P230" i="12"/>
  <c r="P231" i="12"/>
  <c r="Q231" i="12"/>
  <c r="N155" i="12"/>
  <c r="N167" i="12"/>
  <c r="N156" i="12" s="1"/>
  <c r="N170" i="12"/>
  <c r="N171" i="12"/>
  <c r="N172" i="12"/>
  <c r="N173" i="12"/>
  <c r="N174" i="12"/>
  <c r="N175" i="12"/>
  <c r="N176" i="12"/>
  <c r="N177" i="12"/>
  <c r="N178" i="12"/>
  <c r="N179" i="12"/>
  <c r="N188" i="12"/>
  <c r="N189" i="12"/>
  <c r="N190" i="12"/>
  <c r="N191" i="12"/>
  <c r="N192" i="12"/>
  <c r="N193" i="12"/>
  <c r="N195" i="12"/>
  <c r="N205" i="12"/>
  <c r="N206" i="12"/>
  <c r="N207" i="12"/>
  <c r="N208" i="12"/>
  <c r="N209" i="12"/>
  <c r="N210" i="12"/>
  <c r="N211" i="12"/>
  <c r="N212" i="12"/>
  <c r="N213" i="12"/>
  <c r="N214" i="12"/>
  <c r="N222" i="12"/>
  <c r="N223" i="12"/>
  <c r="N225" i="12"/>
  <c r="N226" i="12"/>
  <c r="N229" i="12"/>
  <c r="N230" i="12"/>
  <c r="N231" i="12"/>
  <c r="K205" i="12"/>
  <c r="L205" i="12"/>
  <c r="M205" i="12"/>
  <c r="K206" i="12"/>
  <c r="L206" i="12"/>
  <c r="M206" i="12"/>
  <c r="K207" i="12"/>
  <c r="L207" i="12"/>
  <c r="M207" i="12"/>
  <c r="K208" i="12"/>
  <c r="L208" i="12"/>
  <c r="M208" i="12"/>
  <c r="K209" i="12"/>
  <c r="L209" i="12"/>
  <c r="M209" i="12"/>
  <c r="K210" i="12"/>
  <c r="L210" i="12"/>
  <c r="M210" i="12"/>
  <c r="K211" i="12"/>
  <c r="L211" i="12"/>
  <c r="M211" i="12"/>
  <c r="K212" i="12"/>
  <c r="L212" i="12"/>
  <c r="M212" i="12"/>
  <c r="K213" i="12"/>
  <c r="L213" i="12"/>
  <c r="M213" i="12"/>
  <c r="K214" i="12"/>
  <c r="L214" i="12"/>
  <c r="M214" i="12"/>
  <c r="L223" i="12"/>
  <c r="M223" i="12"/>
  <c r="L224" i="12"/>
  <c r="M224" i="12"/>
  <c r="K225" i="12"/>
  <c r="L225" i="12"/>
  <c r="M225" i="12"/>
  <c r="K226" i="12"/>
  <c r="K228" i="12"/>
  <c r="L228" i="12"/>
  <c r="M228" i="12"/>
  <c r="M230" i="12"/>
  <c r="L231" i="12"/>
  <c r="I227" i="12"/>
  <c r="I226" i="12"/>
  <c r="I225" i="12"/>
  <c r="I224" i="12"/>
  <c r="J207" i="12"/>
  <c r="J208" i="12"/>
  <c r="J209" i="12"/>
  <c r="J210" i="12"/>
  <c r="J211" i="12"/>
  <c r="J212" i="12"/>
  <c r="J213" i="12"/>
  <c r="J214" i="12"/>
  <c r="I214" i="12"/>
  <c r="I213" i="12"/>
  <c r="I212" i="12"/>
  <c r="I211" i="12"/>
  <c r="I210" i="12"/>
  <c r="I209" i="12"/>
  <c r="I208" i="12"/>
  <c r="I207" i="12"/>
  <c r="M186" i="12"/>
  <c r="L187" i="12"/>
  <c r="M187" i="12"/>
  <c r="L188" i="12"/>
  <c r="M188" i="12"/>
  <c r="K189" i="12"/>
  <c r="L189" i="12"/>
  <c r="K190" i="12"/>
  <c r="L190" i="12"/>
  <c r="M190" i="12"/>
  <c r="M191" i="12"/>
  <c r="K192" i="12"/>
  <c r="M192" i="12"/>
  <c r="M194" i="12"/>
  <c r="L195" i="12"/>
  <c r="M195" i="12"/>
  <c r="J189" i="12"/>
  <c r="I194" i="12"/>
  <c r="I193" i="12"/>
  <c r="I192" i="12"/>
  <c r="I191" i="12"/>
  <c r="K170" i="12"/>
  <c r="L170" i="12"/>
  <c r="M170" i="12"/>
  <c r="K171" i="12"/>
  <c r="L171" i="12"/>
  <c r="M171" i="12"/>
  <c r="K172" i="12"/>
  <c r="L172" i="12"/>
  <c r="M172" i="12"/>
  <c r="K173" i="12"/>
  <c r="L173" i="12"/>
  <c r="M173" i="12"/>
  <c r="K174" i="12"/>
  <c r="L174" i="12"/>
  <c r="M174" i="12"/>
  <c r="K175" i="12"/>
  <c r="L175" i="12"/>
  <c r="M175" i="12"/>
  <c r="K176" i="12"/>
  <c r="L176" i="12"/>
  <c r="M176" i="12"/>
  <c r="K177" i="12"/>
  <c r="L177" i="12"/>
  <c r="M177" i="12"/>
  <c r="K178" i="12"/>
  <c r="L178" i="12"/>
  <c r="M178" i="12"/>
  <c r="K179" i="12"/>
  <c r="L179" i="12"/>
  <c r="M179" i="12"/>
  <c r="J172" i="12"/>
  <c r="J173" i="12"/>
  <c r="J174" i="12"/>
  <c r="J175" i="12"/>
  <c r="J176" i="12"/>
  <c r="J177" i="12"/>
  <c r="J178" i="12"/>
  <c r="J179" i="12"/>
  <c r="I179" i="12"/>
  <c r="I178" i="12"/>
  <c r="I177" i="12"/>
  <c r="I176" i="12"/>
  <c r="I175" i="12"/>
  <c r="I174" i="12"/>
  <c r="I173" i="12"/>
  <c r="I172" i="12"/>
  <c r="I171" i="12"/>
  <c r="J171" i="12"/>
  <c r="J170" i="12"/>
  <c r="I170" i="12"/>
  <c r="J205" i="12"/>
  <c r="J206" i="12"/>
  <c r="I195" i="12"/>
  <c r="I230" i="12"/>
  <c r="I229" i="12"/>
  <c r="I228" i="12"/>
  <c r="I190" i="12"/>
  <c r="I189" i="12"/>
  <c r="I188" i="12"/>
  <c r="I217" i="12"/>
  <c r="I206" i="12"/>
  <c r="I205" i="12"/>
  <c r="I201" i="12"/>
  <c r="I187" i="12"/>
  <c r="I186" i="12"/>
  <c r="O215" i="25" l="1"/>
  <c r="I215" i="24"/>
  <c r="Q215" i="24"/>
  <c r="M215" i="25"/>
  <c r="J215" i="25"/>
  <c r="R215" i="25"/>
  <c r="K215" i="24"/>
  <c r="L215" i="24"/>
  <c r="J215" i="24"/>
  <c r="P215" i="24"/>
  <c r="O180" i="24"/>
  <c r="K180" i="24"/>
  <c r="M215" i="24"/>
  <c r="N215" i="24"/>
  <c r="L215" i="25"/>
  <c r="P215" i="25"/>
  <c r="J180" i="25"/>
  <c r="R180" i="25"/>
  <c r="P180" i="24"/>
  <c r="R215" i="23"/>
  <c r="J215" i="23"/>
  <c r="K215" i="12"/>
  <c r="O222" i="12"/>
  <c r="O180" i="12"/>
  <c r="N180" i="25"/>
  <c r="K215" i="25"/>
  <c r="N215" i="25"/>
  <c r="O180" i="25"/>
  <c r="K180" i="25"/>
  <c r="Q180" i="25"/>
  <c r="L180" i="25"/>
  <c r="P180" i="25"/>
  <c r="R215" i="24"/>
  <c r="O215" i="24"/>
  <c r="L180" i="24"/>
  <c r="M180" i="24"/>
  <c r="Q180" i="24"/>
  <c r="N180" i="24"/>
  <c r="J180" i="24"/>
  <c r="R180" i="24"/>
  <c r="K180" i="23"/>
  <c r="L180" i="23"/>
  <c r="M215" i="23"/>
  <c r="L215" i="23"/>
  <c r="O180" i="23"/>
  <c r="N215" i="23"/>
  <c r="P180" i="23"/>
  <c r="O215" i="23"/>
  <c r="Q180" i="23"/>
  <c r="P215" i="23"/>
  <c r="J180" i="23"/>
  <c r="R180" i="23"/>
  <c r="I215" i="23"/>
  <c r="Q215" i="23"/>
  <c r="K215" i="23"/>
  <c r="M180" i="23"/>
  <c r="N180" i="23"/>
  <c r="O215" i="12"/>
  <c r="R215" i="12"/>
  <c r="N215" i="12"/>
  <c r="M215" i="12"/>
  <c r="L215" i="12"/>
  <c r="I220" i="12"/>
  <c r="G25" i="27" s="1"/>
  <c r="Q215" i="12"/>
  <c r="P215" i="12"/>
  <c r="L222" i="12"/>
  <c r="K222" i="12"/>
  <c r="R180" i="12"/>
  <c r="Q180" i="12"/>
  <c r="P180" i="12"/>
  <c r="N180" i="12"/>
  <c r="J180" i="12"/>
  <c r="I180" i="25"/>
  <c r="I180" i="24"/>
  <c r="I180" i="23"/>
  <c r="K230" i="12"/>
  <c r="J194" i="12"/>
  <c r="K187" i="12"/>
  <c r="M229" i="12"/>
  <c r="M221" i="12" s="1"/>
  <c r="M158" i="12" s="1"/>
  <c r="R230" i="12"/>
  <c r="P226" i="12"/>
  <c r="R222" i="12"/>
  <c r="K195" i="12"/>
  <c r="J193" i="12"/>
  <c r="L229" i="12"/>
  <c r="Q230" i="12"/>
  <c r="O226" i="12"/>
  <c r="Q222" i="12"/>
  <c r="L194" i="12"/>
  <c r="K229" i="12"/>
  <c r="J223" i="12"/>
  <c r="R229" i="12"/>
  <c r="P187" i="23"/>
  <c r="J194" i="23"/>
  <c r="P227" i="23"/>
  <c r="P221" i="23" s="1"/>
  <c r="P158" i="23" s="1"/>
  <c r="L189" i="23"/>
  <c r="P195" i="23"/>
  <c r="J222" i="23"/>
  <c r="J221" i="23" s="1"/>
  <c r="J158" i="23" s="1"/>
  <c r="N228" i="23"/>
  <c r="N221" i="23" s="1"/>
  <c r="N158" i="23" s="1"/>
  <c r="J190" i="23"/>
  <c r="Q222" i="23"/>
  <c r="I226" i="23"/>
  <c r="K229" i="23"/>
  <c r="R190" i="23"/>
  <c r="O223" i="23"/>
  <c r="Q226" i="23"/>
  <c r="I230" i="23"/>
  <c r="L221" i="23"/>
  <c r="L158" i="23" s="1"/>
  <c r="M221" i="24"/>
  <c r="M158" i="24" s="1"/>
  <c r="J224" i="24"/>
  <c r="R224" i="24"/>
  <c r="J228" i="24"/>
  <c r="L231" i="24"/>
  <c r="N230" i="24"/>
  <c r="M187" i="24"/>
  <c r="Q193" i="24"/>
  <c r="K228" i="24"/>
  <c r="K221" i="24" s="1"/>
  <c r="K158" i="24" s="1"/>
  <c r="L223" i="24"/>
  <c r="N226" i="24"/>
  <c r="P229" i="24"/>
  <c r="O190" i="24"/>
  <c r="L227" i="24"/>
  <c r="R186" i="25"/>
  <c r="J190" i="25"/>
  <c r="L193" i="25"/>
  <c r="K223" i="25"/>
  <c r="M226" i="25"/>
  <c r="O229" i="25"/>
  <c r="R223" i="25"/>
  <c r="J227" i="25"/>
  <c r="L230" i="25"/>
  <c r="P187" i="25"/>
  <c r="R190" i="25"/>
  <c r="J194" i="25"/>
  <c r="I224" i="25"/>
  <c r="K227" i="25"/>
  <c r="M230" i="25"/>
  <c r="P224" i="25"/>
  <c r="R227" i="25"/>
  <c r="J231" i="25"/>
  <c r="N188" i="25"/>
  <c r="P191" i="25"/>
  <c r="R194" i="25"/>
  <c r="Q224" i="25"/>
  <c r="I228" i="25"/>
  <c r="K231" i="25"/>
  <c r="L222" i="25"/>
  <c r="L221" i="25" s="1"/>
  <c r="L158" i="25" s="1"/>
  <c r="N225" i="25"/>
  <c r="N221" i="25" s="1"/>
  <c r="N158" i="25" s="1"/>
  <c r="P228" i="25"/>
  <c r="R231" i="25"/>
  <c r="P186" i="25"/>
  <c r="N187" i="25"/>
  <c r="L188" i="25"/>
  <c r="J189" i="25"/>
  <c r="R189" i="25"/>
  <c r="P190" i="25"/>
  <c r="N191" i="25"/>
  <c r="L192" i="25"/>
  <c r="J193" i="25"/>
  <c r="R193" i="25"/>
  <c r="P194" i="25"/>
  <c r="N195" i="25"/>
  <c r="O222" i="25"/>
  <c r="M223" i="25"/>
  <c r="K224" i="25"/>
  <c r="I225" i="25"/>
  <c r="Q225" i="25"/>
  <c r="O226" i="25"/>
  <c r="M227" i="25"/>
  <c r="K228" i="25"/>
  <c r="I229" i="25"/>
  <c r="Q229" i="25"/>
  <c r="O230" i="25"/>
  <c r="M231" i="25"/>
  <c r="I186" i="25"/>
  <c r="Q186" i="25"/>
  <c r="O187" i="25"/>
  <c r="M188" i="25"/>
  <c r="K189" i="25"/>
  <c r="I190" i="25"/>
  <c r="Q190" i="25"/>
  <c r="O191" i="25"/>
  <c r="M192" i="25"/>
  <c r="K193" i="25"/>
  <c r="I194" i="25"/>
  <c r="Q194" i="25"/>
  <c r="O195" i="25"/>
  <c r="K186" i="25"/>
  <c r="I187" i="25"/>
  <c r="Q187" i="25"/>
  <c r="O188" i="25"/>
  <c r="M189" i="25"/>
  <c r="K190" i="25"/>
  <c r="I191" i="25"/>
  <c r="Q191" i="25"/>
  <c r="O192" i="25"/>
  <c r="M193" i="25"/>
  <c r="K194" i="25"/>
  <c r="I195" i="25"/>
  <c r="Q195" i="25"/>
  <c r="N186" i="25"/>
  <c r="L187" i="25"/>
  <c r="J188" i="25"/>
  <c r="R188" i="25"/>
  <c r="P189" i="25"/>
  <c r="N190" i="25"/>
  <c r="L191" i="25"/>
  <c r="J192" i="25"/>
  <c r="R192" i="25"/>
  <c r="P193" i="25"/>
  <c r="N194" i="25"/>
  <c r="L195" i="25"/>
  <c r="O221" i="24"/>
  <c r="O158" i="24" s="1"/>
  <c r="I221" i="24"/>
  <c r="I158" i="24" s="1"/>
  <c r="Q221" i="24"/>
  <c r="Q158" i="24" s="1"/>
  <c r="J189" i="24"/>
  <c r="P194" i="24"/>
  <c r="I186" i="24"/>
  <c r="Q186" i="24"/>
  <c r="O187" i="24"/>
  <c r="M188" i="24"/>
  <c r="K189" i="24"/>
  <c r="I190" i="24"/>
  <c r="Q190" i="24"/>
  <c r="O191" i="24"/>
  <c r="M192" i="24"/>
  <c r="K193" i="24"/>
  <c r="I194" i="24"/>
  <c r="Q194" i="24"/>
  <c r="O195" i="24"/>
  <c r="P222" i="24"/>
  <c r="N223" i="24"/>
  <c r="L224" i="24"/>
  <c r="R225" i="24"/>
  <c r="P226" i="24"/>
  <c r="N227" i="24"/>
  <c r="L228" i="24"/>
  <c r="J229" i="24"/>
  <c r="R229" i="24"/>
  <c r="N231" i="24"/>
  <c r="J186" i="24"/>
  <c r="R186" i="24"/>
  <c r="P187" i="24"/>
  <c r="N188" i="24"/>
  <c r="L189" i="24"/>
  <c r="J190" i="24"/>
  <c r="R190" i="24"/>
  <c r="P191" i="24"/>
  <c r="N192" i="24"/>
  <c r="L193" i="24"/>
  <c r="J194" i="24"/>
  <c r="R194" i="24"/>
  <c r="P195" i="24"/>
  <c r="K186" i="24"/>
  <c r="I187" i="24"/>
  <c r="Q187" i="24"/>
  <c r="O188" i="24"/>
  <c r="M189" i="24"/>
  <c r="K190" i="24"/>
  <c r="I191" i="24"/>
  <c r="Q191" i="24"/>
  <c r="O192" i="24"/>
  <c r="M193" i="24"/>
  <c r="K194" i="24"/>
  <c r="I195" i="24"/>
  <c r="Q195" i="24"/>
  <c r="L186" i="24"/>
  <c r="J187" i="24"/>
  <c r="R187" i="24"/>
  <c r="P188" i="24"/>
  <c r="N189" i="24"/>
  <c r="L190" i="24"/>
  <c r="J191" i="24"/>
  <c r="R191" i="24"/>
  <c r="P192" i="24"/>
  <c r="N193" i="24"/>
  <c r="L194" i="24"/>
  <c r="J195" i="24"/>
  <c r="R195" i="24"/>
  <c r="M186" i="24"/>
  <c r="K187" i="24"/>
  <c r="I188" i="24"/>
  <c r="Q188" i="24"/>
  <c r="O189" i="24"/>
  <c r="M190" i="24"/>
  <c r="K191" i="24"/>
  <c r="I192" i="24"/>
  <c r="Q192" i="24"/>
  <c r="O193" i="24"/>
  <c r="M194" i="24"/>
  <c r="K195" i="24"/>
  <c r="R221" i="23"/>
  <c r="R158" i="23" s="1"/>
  <c r="Q187" i="23"/>
  <c r="O192" i="23"/>
  <c r="P186" i="23"/>
  <c r="N187" i="23"/>
  <c r="L188" i="23"/>
  <c r="J189" i="23"/>
  <c r="R189" i="23"/>
  <c r="P190" i="23"/>
  <c r="N191" i="23"/>
  <c r="L192" i="23"/>
  <c r="J193" i="23"/>
  <c r="R193" i="23"/>
  <c r="P194" i="23"/>
  <c r="N195" i="23"/>
  <c r="O222" i="23"/>
  <c r="M223" i="23"/>
  <c r="K224" i="23"/>
  <c r="I225" i="23"/>
  <c r="Q225" i="23"/>
  <c r="O226" i="23"/>
  <c r="M227" i="23"/>
  <c r="K228" i="23"/>
  <c r="I229" i="23"/>
  <c r="Q229" i="23"/>
  <c r="O230" i="23"/>
  <c r="M231" i="23"/>
  <c r="I187" i="23"/>
  <c r="I191" i="23"/>
  <c r="K194" i="23"/>
  <c r="K186" i="23"/>
  <c r="O188" i="23"/>
  <c r="Q191" i="23"/>
  <c r="Q195" i="23"/>
  <c r="L186" i="23"/>
  <c r="J187" i="23"/>
  <c r="R187" i="23"/>
  <c r="P188" i="23"/>
  <c r="N189" i="23"/>
  <c r="L190" i="23"/>
  <c r="J191" i="23"/>
  <c r="R191" i="23"/>
  <c r="P192" i="23"/>
  <c r="N193" i="23"/>
  <c r="L194" i="23"/>
  <c r="J195" i="23"/>
  <c r="R195" i="23"/>
  <c r="M225" i="23"/>
  <c r="K226" i="23"/>
  <c r="M229" i="23"/>
  <c r="I231" i="23"/>
  <c r="M186" i="23"/>
  <c r="K187" i="23"/>
  <c r="I188" i="23"/>
  <c r="Q188" i="23"/>
  <c r="O189" i="23"/>
  <c r="M190" i="23"/>
  <c r="K191" i="23"/>
  <c r="I192" i="23"/>
  <c r="Q192" i="23"/>
  <c r="O193" i="23"/>
  <c r="M194" i="23"/>
  <c r="K195" i="23"/>
  <c r="N186" i="23"/>
  <c r="L187" i="23"/>
  <c r="J188" i="23"/>
  <c r="R188" i="23"/>
  <c r="P189" i="23"/>
  <c r="N190" i="23"/>
  <c r="L191" i="23"/>
  <c r="J192" i="23"/>
  <c r="R192" i="23"/>
  <c r="P193" i="23"/>
  <c r="N194" i="23"/>
  <c r="L195" i="23"/>
  <c r="J186" i="12"/>
  <c r="I180" i="12"/>
  <c r="O187" i="12"/>
  <c r="O196" i="12" s="1"/>
  <c r="O199" i="12" s="1"/>
  <c r="K188" i="12"/>
  <c r="R188" i="12"/>
  <c r="R196" i="12" s="1"/>
  <c r="R199" i="12" s="1"/>
  <c r="Q188" i="12"/>
  <c r="Q196" i="12" s="1"/>
  <c r="Q199" i="12" s="1"/>
  <c r="J224" i="12"/>
  <c r="P189" i="12"/>
  <c r="P196" i="12" s="1"/>
  <c r="P199" i="12" s="1"/>
  <c r="J190" i="12"/>
  <c r="R226" i="12"/>
  <c r="K227" i="12"/>
  <c r="J227" i="12"/>
  <c r="L191" i="12"/>
  <c r="O227" i="12"/>
  <c r="J228" i="12"/>
  <c r="R228" i="12"/>
  <c r="M196" i="12"/>
  <c r="M199" i="12" s="1"/>
  <c r="Q229" i="12"/>
  <c r="P229" i="12"/>
  <c r="O229" i="12"/>
  <c r="O230" i="12"/>
  <c r="M220" i="12"/>
  <c r="J195" i="12"/>
  <c r="N196" i="12"/>
  <c r="N199" i="12" s="1"/>
  <c r="O231" i="12"/>
  <c r="N221" i="12"/>
  <c r="N158" i="12" s="1"/>
  <c r="R231" i="12"/>
  <c r="I231" i="12"/>
  <c r="I223" i="12"/>
  <c r="N220" i="12"/>
  <c r="M180" i="12"/>
  <c r="L180" i="12"/>
  <c r="K180" i="12"/>
  <c r="J215" i="12"/>
  <c r="I215" i="12"/>
  <c r="I196" i="12"/>
  <c r="I199" i="12" s="1"/>
  <c r="I222" i="12"/>
  <c r="I216" i="25" l="1"/>
  <c r="I218" i="25" s="1"/>
  <c r="P19" i="27" s="1"/>
  <c r="I216" i="24"/>
  <c r="I218" i="24" s="1"/>
  <c r="M19" i="27" s="1"/>
  <c r="P220" i="12"/>
  <c r="I181" i="25"/>
  <c r="P17" i="27" s="1"/>
  <c r="R221" i="24"/>
  <c r="R158" i="24" s="1"/>
  <c r="I216" i="23"/>
  <c r="I218" i="23" s="1"/>
  <c r="J19" i="27" s="1"/>
  <c r="M157" i="12"/>
  <c r="O157" i="12"/>
  <c r="Q221" i="12"/>
  <c r="Q158" i="12" s="1"/>
  <c r="M221" i="25"/>
  <c r="M158" i="25" s="1"/>
  <c r="P221" i="25"/>
  <c r="P158" i="25" s="1"/>
  <c r="M220" i="25"/>
  <c r="J221" i="25"/>
  <c r="J158" i="25" s="1"/>
  <c r="R221" i="25"/>
  <c r="R158" i="25" s="1"/>
  <c r="I221" i="25"/>
  <c r="I158" i="25" s="1"/>
  <c r="K221" i="25"/>
  <c r="K158" i="25" s="1"/>
  <c r="R220" i="25"/>
  <c r="I181" i="24"/>
  <c r="M17" i="27" s="1"/>
  <c r="O220" i="24"/>
  <c r="I220" i="23"/>
  <c r="J25" i="27" s="1"/>
  <c r="R220" i="23"/>
  <c r="I181" i="23"/>
  <c r="J17" i="27" s="1"/>
  <c r="O221" i="12"/>
  <c r="O158" i="12" s="1"/>
  <c r="I157" i="12"/>
  <c r="R157" i="12"/>
  <c r="I216" i="12"/>
  <c r="I218" i="12" s="1"/>
  <c r="G19" i="27" s="1"/>
  <c r="N157" i="12"/>
  <c r="P157" i="12"/>
  <c r="Q157" i="12"/>
  <c r="P221" i="12"/>
  <c r="P158" i="12" s="1"/>
  <c r="K221" i="12"/>
  <c r="K158" i="12" s="1"/>
  <c r="L221" i="12"/>
  <c r="L158" i="12" s="1"/>
  <c r="R221" i="12"/>
  <c r="R158" i="12" s="1"/>
  <c r="K220" i="12"/>
  <c r="I196" i="23"/>
  <c r="I199" i="23" s="1"/>
  <c r="I157" i="23" s="1"/>
  <c r="I181" i="12"/>
  <c r="G17" i="27" s="1"/>
  <c r="J196" i="12"/>
  <c r="J199" i="12" s="1"/>
  <c r="J157" i="12" s="1"/>
  <c r="L220" i="12"/>
  <c r="I221" i="23"/>
  <c r="I158" i="23" s="1"/>
  <c r="J196" i="23"/>
  <c r="J199" i="23" s="1"/>
  <c r="J157" i="23" s="1"/>
  <c r="K221" i="23"/>
  <c r="K158" i="23" s="1"/>
  <c r="Q220" i="23"/>
  <c r="Q221" i="23"/>
  <c r="Q158" i="23" s="1"/>
  <c r="J220" i="23"/>
  <c r="M221" i="23"/>
  <c r="M158" i="23" s="1"/>
  <c r="O220" i="23"/>
  <c r="O221" i="23"/>
  <c r="O158" i="23" s="1"/>
  <c r="R196" i="23"/>
  <c r="R199" i="23" s="1"/>
  <c r="R157" i="23" s="1"/>
  <c r="N220" i="24"/>
  <c r="O196" i="24"/>
  <c r="O199" i="24" s="1"/>
  <c r="O157" i="24" s="1"/>
  <c r="P220" i="24"/>
  <c r="L221" i="24"/>
  <c r="L158" i="24" s="1"/>
  <c r="N221" i="24"/>
  <c r="N158" i="24" s="1"/>
  <c r="J221" i="24"/>
  <c r="J158" i="24" s="1"/>
  <c r="J220" i="25"/>
  <c r="M196" i="25"/>
  <c r="M199" i="25" s="1"/>
  <c r="M157" i="25" s="1"/>
  <c r="R196" i="25"/>
  <c r="R199" i="25" s="1"/>
  <c r="R157" i="25" s="1"/>
  <c r="O196" i="25"/>
  <c r="O199" i="25" s="1"/>
  <c r="O157" i="25" s="1"/>
  <c r="Q221" i="25"/>
  <c r="Q158" i="25" s="1"/>
  <c r="L220" i="25"/>
  <c r="Q220" i="25"/>
  <c r="Q196" i="25"/>
  <c r="Q199" i="25" s="1"/>
  <c r="Q157" i="25" s="1"/>
  <c r="I220" i="25"/>
  <c r="P25" i="27" s="1"/>
  <c r="I196" i="25"/>
  <c r="P220" i="25"/>
  <c r="P196" i="25"/>
  <c r="P199" i="25" s="1"/>
  <c r="P157" i="25" s="1"/>
  <c r="J196" i="25"/>
  <c r="J199" i="25" s="1"/>
  <c r="J157" i="25" s="1"/>
  <c r="K196" i="25"/>
  <c r="K199" i="25" s="1"/>
  <c r="K157" i="25" s="1"/>
  <c r="K220" i="25"/>
  <c r="O220" i="25"/>
  <c r="O221" i="25"/>
  <c r="O158" i="25" s="1"/>
  <c r="L196" i="25"/>
  <c r="L199" i="25" s="1"/>
  <c r="L157" i="25" s="1"/>
  <c r="N196" i="25"/>
  <c r="N199" i="25" s="1"/>
  <c r="N157" i="25" s="1"/>
  <c r="N220" i="25"/>
  <c r="Q220" i="24"/>
  <c r="Q196" i="24"/>
  <c r="Q199" i="24" s="1"/>
  <c r="Q157" i="24" s="1"/>
  <c r="P196" i="24"/>
  <c r="P199" i="24" s="1"/>
  <c r="P157" i="24" s="1"/>
  <c r="R196" i="24"/>
  <c r="R199" i="24" s="1"/>
  <c r="R157" i="24" s="1"/>
  <c r="R220" i="24"/>
  <c r="I220" i="24"/>
  <c r="M25" i="27" s="1"/>
  <c r="I196" i="24"/>
  <c r="P221" i="24"/>
  <c r="P158" i="24" s="1"/>
  <c r="K196" i="24"/>
  <c r="K199" i="24" s="1"/>
  <c r="K157" i="24" s="1"/>
  <c r="K220" i="24"/>
  <c r="M220" i="24"/>
  <c r="M196" i="24"/>
  <c r="M199" i="24" s="1"/>
  <c r="M157" i="24" s="1"/>
  <c r="J196" i="24"/>
  <c r="J199" i="24" s="1"/>
  <c r="J157" i="24" s="1"/>
  <c r="J220" i="24"/>
  <c r="N196" i="24"/>
  <c r="N199" i="24" s="1"/>
  <c r="N157" i="24" s="1"/>
  <c r="L196" i="24"/>
  <c r="L199" i="24" s="1"/>
  <c r="L157" i="24" s="1"/>
  <c r="L220" i="24"/>
  <c r="K196" i="23"/>
  <c r="K199" i="23" s="1"/>
  <c r="K157" i="23" s="1"/>
  <c r="K220" i="23"/>
  <c r="N196" i="23"/>
  <c r="N199" i="23" s="1"/>
  <c r="N157" i="23" s="1"/>
  <c r="N220" i="23"/>
  <c r="O196" i="23"/>
  <c r="O199" i="23" s="1"/>
  <c r="O157" i="23" s="1"/>
  <c r="M220" i="23"/>
  <c r="M196" i="23"/>
  <c r="M199" i="23" s="1"/>
  <c r="M157" i="23" s="1"/>
  <c r="P220" i="23"/>
  <c r="P196" i="23"/>
  <c r="P199" i="23" s="1"/>
  <c r="P157" i="23" s="1"/>
  <c r="Q196" i="23"/>
  <c r="Q199" i="23" s="1"/>
  <c r="Q157" i="23" s="1"/>
  <c r="L220" i="23"/>
  <c r="L196" i="23"/>
  <c r="L196" i="12"/>
  <c r="L199" i="12" s="1"/>
  <c r="L157" i="12" s="1"/>
  <c r="Q220" i="12"/>
  <c r="R220" i="12"/>
  <c r="J220" i="12"/>
  <c r="O220" i="12"/>
  <c r="K196" i="12"/>
  <c r="K199" i="12" s="1"/>
  <c r="K157" i="12" s="1"/>
  <c r="J221" i="12"/>
  <c r="J158" i="12" s="1"/>
  <c r="I221" i="12"/>
  <c r="I158" i="12" s="1"/>
  <c r="I163" i="23" l="1"/>
  <c r="I197" i="23"/>
  <c r="L199" i="23"/>
  <c r="L157" i="23" s="1"/>
  <c r="I163" i="25"/>
  <c r="I197" i="25"/>
  <c r="I199" i="25"/>
  <c r="I157" i="25" s="1"/>
  <c r="I163" i="24"/>
  <c r="I199" i="24"/>
  <c r="I157" i="24" s="1"/>
  <c r="I197" i="24"/>
  <c r="I197" i="12"/>
  <c r="I163" i="12"/>
  <c r="I200" i="25" l="1"/>
  <c r="I202" i="25" s="1"/>
  <c r="P18" i="27" s="1"/>
  <c r="P20" i="27" s="1"/>
  <c r="P24" i="27"/>
  <c r="I200" i="24"/>
  <c r="I202" i="24" s="1"/>
  <c r="M18" i="27" s="1"/>
  <c r="M20" i="27" s="1"/>
  <c r="M24" i="27"/>
  <c r="I200" i="23"/>
  <c r="J24" i="27"/>
  <c r="I200" i="12"/>
  <c r="G24" i="27"/>
  <c r="I161" i="25" l="1"/>
  <c r="I161" i="24"/>
  <c r="I202" i="23"/>
  <c r="I161" i="23"/>
  <c r="I202" i="12"/>
  <c r="I162" i="12" s="1"/>
  <c r="I161" i="12"/>
  <c r="I162" i="25"/>
  <c r="I160" i="25"/>
  <c r="I232" i="25"/>
  <c r="I233" i="25" s="1"/>
  <c r="I155" i="25" s="1"/>
  <c r="I162" i="24"/>
  <c r="I160" i="24"/>
  <c r="I232" i="24"/>
  <c r="I233" i="24" s="1"/>
  <c r="I155" i="24" s="1"/>
  <c r="J18" i="27" l="1"/>
  <c r="J20" i="27" s="1"/>
  <c r="I160" i="23"/>
  <c r="I162" i="23"/>
  <c r="I232" i="23"/>
  <c r="I233" i="23" s="1"/>
  <c r="I155" i="23" s="1"/>
  <c r="G18" i="27"/>
  <c r="G20" i="27" s="1"/>
  <c r="I232" i="12"/>
  <c r="I233" i="12" s="1"/>
  <c r="I160" i="12"/>
  <c r="L167" i="12"/>
  <c r="L156" i="12" s="1"/>
  <c r="M167" i="12" l="1"/>
  <c r="M156" i="12" s="1"/>
  <c r="K167" i="12"/>
  <c r="K156" i="12" s="1"/>
  <c r="J167" i="12"/>
  <c r="J156" i="12" s="1"/>
  <c r="I167" i="12"/>
  <c r="I156" i="12" s="1"/>
  <c r="L155" i="12" l="1"/>
  <c r="J155" i="12"/>
  <c r="M155" i="12"/>
  <c r="K155" i="12"/>
  <c r="I155"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daniberg</author>
    <author>Holmén, Andreas</author>
    <author>Ylva Svedenmark</author>
  </authors>
  <commentList>
    <comment ref="C15" authorId="0" shapeId="0" xr:uid="{00000000-0006-0000-0100-000002000000}">
      <text>
        <r>
          <rPr>
            <sz val="8"/>
            <color indexed="81"/>
            <rFont val="Corbel"/>
            <family val="2"/>
          </rPr>
          <t>Kalkylen bör utgå från den armatur med bäst teknisk livslängd. 20 år kan ses som ett referensvärde men det kan också vara längre.</t>
        </r>
      </text>
    </comment>
    <comment ref="C16" authorId="0" shapeId="0" xr:uid="{00000000-0006-0000-0100-000003000000}">
      <text>
        <r>
          <rPr>
            <sz val="8"/>
            <color indexed="81"/>
            <rFont val="Corbel"/>
            <family val="2"/>
          </rPr>
          <t xml:space="preserve">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t>
        </r>
      </text>
    </comment>
    <comment ref="C17" authorId="1" shapeId="0" xr:uid="{FE0751AD-B7A4-4E59-9B45-62752F52A81B}">
      <text>
        <r>
          <rPr>
            <sz val="8"/>
            <color indexed="81"/>
            <rFont val="Tahoma"/>
            <family val="2"/>
          </rPr>
          <t xml:space="preserve">Organisationens avtalade elpris (kr/kWh) anges. Elpriset är uppbyggt av flera komponenter. Säkerställ att prisuppgiften innehåller samma komponenter i alla jämförelser.  </t>
        </r>
      </text>
    </comment>
    <comment ref="C18" authorId="2" shapeId="0" xr:uid="{00000000-0006-0000-0100-000005000000}">
      <text>
        <r>
          <rPr>
            <sz val="8"/>
            <color indexed="81"/>
            <rFont val="Corbel"/>
            <family val="2"/>
          </rPr>
          <t>Faktor för beräkning av energiprisförändring utöver (rensad från) inflation. Inflationen ska räknas bort pga real kalkylränta.</t>
        </r>
      </text>
    </comment>
    <comment ref="C19" authorId="2" shapeId="0" xr:uid="{00000000-0006-0000-0100-000006000000}">
      <text>
        <r>
          <rPr>
            <sz val="8"/>
            <color indexed="81"/>
            <rFont val="Corbel"/>
            <family val="2"/>
          </rPr>
          <t xml:space="preserve">För att kunna beräkna klimatpåverkan från el- eller bränsleanvändningen anges här energileverantörens uppgifter om klimatpåverkan från sin elmix (koldioxidutsläpp per kilowattimme)  eller sitt bränsle. Du kan också använda riktvärden från flik 5. </t>
        </r>
      </text>
    </comment>
    <comment ref="C20" authorId="0" shapeId="0" xr:uid="{00000000-0006-0000-0100-000007000000}">
      <text>
        <r>
          <rPr>
            <sz val="8"/>
            <color indexed="81"/>
            <rFont val="Corbel"/>
            <family val="2"/>
          </rPr>
          <t>Här ska drifttid (h/år) för belysningen anges. Tiden ska i första hand vara baserad på befintlig driftdata. I andra hand kan man utgå från driftdata (schablonvärden) enligt standard SS-EN 15193: kontor 2500 h/år, skolor 2000 h/år, sporthallar 4000 h/år, kök 2500 h/år, sjukhus 5000 h/år. Dessa värden finns också nämnda i Ljus &amp; Rum, utgåva 4 (2022) kapitel 6.</t>
        </r>
      </text>
    </comment>
    <comment ref="G25" authorId="1" shapeId="0" xr:uid="{0913DD48-7DE9-408B-9CB3-9288CCB97747}">
      <text>
        <r>
          <rPr>
            <sz val="8"/>
            <color indexed="81"/>
            <rFont val="Tahoma"/>
            <family val="2"/>
          </rPr>
          <t>Beskrivning av anläggningen med rumstyper och storlek på dessa måste göras i förfrågningsunderlaget. Ange rumstyp i första hand enligt benämningar i flik 4. Om flera typer och storlekar finns på t.ex. kontorsrum, benämns dessa cellkontor 1, cellkontor 2 osv.</t>
        </r>
      </text>
    </comment>
    <comment ref="G28" authorId="1" shapeId="0" xr:uid="{88D5E3E4-EA65-42C3-ADB7-A11FFE77AAD5}">
      <text>
        <r>
          <rPr>
            <sz val="9"/>
            <color indexed="81"/>
            <rFont val="Tahoma"/>
            <family val="2"/>
          </rPr>
          <t>Fyll i antal rum per rumstyp, dvs rum med samma funktion och storlek</t>
        </r>
      </text>
    </comment>
    <comment ref="G29" authorId="1" shapeId="0" xr:uid="{CC9DEF62-5D31-4F89-BC23-E6CC9483DB61}">
      <text>
        <r>
          <rPr>
            <sz val="9"/>
            <color indexed="81"/>
            <rFont val="Tahoma"/>
            <family val="2"/>
          </rPr>
          <t>Rummets yta matas in för att kunna beräkna rumstypens årliga energianvändning per kvadratmeter (LENI-talet). Utifrån detta kan sedan hela anläggningens årliga energianvändning enkelt beräknas, om detta efterfrågas i upphandlingen.</t>
        </r>
      </text>
    </comment>
    <comment ref="G32" authorId="1" shapeId="0" xr:uid="{D3D2BFA5-2C7C-418B-BE10-D1E430C62DD8}">
      <text>
        <r>
          <rPr>
            <sz val="9"/>
            <color indexed="81"/>
            <rFont val="Tahoma"/>
            <family val="2"/>
          </rPr>
          <t xml:space="preserve">Här ifylles antal armaturer som ingår i den föreslagna lösningen per rumstyp. Om fler typer av armaturer förekommer så ifylles dessa som armaturtyp 1, armaturtyp 2 osv. </t>
        </r>
      </text>
    </comment>
    <comment ref="G33" authorId="1" shapeId="0" xr:uid="{A38FD1D4-9A66-45D8-A017-F914DF169821}">
      <text>
        <r>
          <rPr>
            <sz val="9"/>
            <color indexed="81"/>
            <rFont val="Tahoma"/>
            <family val="2"/>
          </rPr>
          <t>Här ska totala priset för armatur, ljuskälla, driftdon samt inbyggd styrutrustning anges (pris per styck). Om en armatur har fler än en ljuskälla ska dessa läggas ihop.</t>
        </r>
      </text>
    </comment>
    <comment ref="G34" authorId="1" shapeId="0" xr:uid="{2F33494C-AA99-4985-ACC4-501981FF3E9C}">
      <text>
        <r>
          <rPr>
            <sz val="9"/>
            <color indexed="81"/>
            <rFont val="Tahoma"/>
            <family val="2"/>
          </rPr>
          <t xml:space="preserve">Här ingår material- och arbetskostnader för installationen, exklusive extern styrutrustning. Även kostnader för driftsättning ingår här (injustering och provning). Material kan exempelvis vara kablar. Arbetskostnader kan vara personal och maskinhyra. Om entreprenaden ingår får kostnaderna bli en uppskattning. Beräkning ska kunna uppvisas för den upphandlade organisationen.
</t>
        </r>
      </text>
    </comment>
    <comment ref="G35" authorId="1" shapeId="0" xr:uid="{25E21991-53D1-47E1-91C1-CCDCDC4FD8E2}">
      <text>
        <r>
          <rPr>
            <sz val="9"/>
            <color indexed="81"/>
            <rFont val="Tahoma"/>
            <family val="2"/>
          </rPr>
          <t>Effekt per armatur (W), driftsförluster inkluderade, fylls i här.</t>
        </r>
      </text>
    </comment>
    <comment ref="G36" authorId="1" shapeId="0" xr:uid="{64AF259B-14B6-422E-B469-53D5E1BBEC5C}">
      <text>
        <r>
          <rPr>
            <sz val="9"/>
            <color indexed="81"/>
            <rFont val="Tahoma"/>
            <family val="2"/>
          </rPr>
          <t xml:space="preserve">Välj typ av styrning (ingen, manuell, närvaro/frånvarostyrning, dagsljusstyrning och olika kombinationer av dessa.
</t>
        </r>
      </text>
    </comment>
    <comment ref="G37" authorId="1" shapeId="0" xr:uid="{0E899A2A-F647-4022-8124-92D336F8DA80}">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8" authorId="1" shapeId="0" xr:uid="{7B6B48C3-0C59-480F-8011-955E99FB3658}">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9" authorId="1" shapeId="0" xr:uid="{6C9B5F5E-14F5-41CA-96B5-46CADDB0AC9C}">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40" authorId="1" shapeId="0" xr:uid="{FFECBFCE-835C-491A-A699-B92E3405BFFB}">
      <text>
        <r>
          <rPr>
            <sz val="9"/>
            <color indexed="81"/>
            <rFont val="Tahoma"/>
            <family val="2"/>
          </rPr>
          <t xml:space="preserve">Här visas den totala reduktionsfaktorn, dvs multiplicering av värdena från rad 2.6-2.8, som kommer användas vidare i beräkningarna
</t>
        </r>
      </text>
    </comment>
    <comment ref="G41" authorId="1" shapeId="0" xr:uid="{4E0E7574-0D5B-4539-98A8-2A20A7706535}">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49" authorId="1" shapeId="0" xr:uid="{02A3F317-D1B7-4BA6-B033-C23B6629B127}">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50" authorId="1" shapeId="0" xr:uid="{8EB3CF2A-CF14-4987-9992-FE2889EF764D}">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51" authorId="1" shapeId="0" xr:uid="{268A44F7-19CA-4CB8-9858-B5125529F7EE}">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52" authorId="1" shapeId="0" xr:uid="{7D661A87-07C1-49E8-AE42-FAB1FA80D386}">
      <text>
        <r>
          <rPr>
            <sz val="9"/>
            <color indexed="81"/>
            <rFont val="Tahoma"/>
            <family val="2"/>
          </rPr>
          <t xml:space="preserve">Här visas den totala reduktionsfaktorn, dvs multiplicering av värdena från rad 2.6-2.8, som kommer användas vidare i beräkningarna
</t>
        </r>
      </text>
    </comment>
    <comment ref="G53" authorId="1" shapeId="0" xr:uid="{CA6A5819-EAE1-444D-A3B3-E23F802BE59B}">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61" authorId="1" shapeId="0" xr:uid="{33A55B2A-F43D-472F-8B44-FF225DAB39A9}">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62" authorId="1" shapeId="0" xr:uid="{9E3BA0E7-2A87-4BB6-9918-39FC0F54812A}">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63" authorId="1" shapeId="0" xr:uid="{2774C50C-1291-4F70-8B88-5D70DD146B48}">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64" authorId="1" shapeId="0" xr:uid="{9477F4B0-C4D3-48ED-B3F7-57A48351F15E}">
      <text>
        <r>
          <rPr>
            <sz val="9"/>
            <color indexed="81"/>
            <rFont val="Tahoma"/>
            <family val="2"/>
          </rPr>
          <t xml:space="preserve">Här visas den totala reduktionsfaktorn, dvs multiplicering av värdena från rad 2.6-2.8, som kommer användas vidare i beräkningarna
</t>
        </r>
      </text>
    </comment>
    <comment ref="G65" authorId="1" shapeId="0" xr:uid="{55B97772-74B7-4716-A66F-D1042E43A2AE}">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73" authorId="1" shapeId="0" xr:uid="{0B3D343E-3D03-4E89-90AF-06C290547472}">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74" authorId="1" shapeId="0" xr:uid="{8DBBC608-5639-41B9-AF7B-1EDA221CCA16}">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75" authorId="1" shapeId="0" xr:uid="{DA0BC497-4311-4557-9240-21EAE5016D17}">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76" authorId="1" shapeId="0" xr:uid="{796B5E1B-AF43-471E-AE63-DA460C91534B}">
      <text>
        <r>
          <rPr>
            <sz val="9"/>
            <color indexed="81"/>
            <rFont val="Tahoma"/>
            <family val="2"/>
          </rPr>
          <t xml:space="preserve">Här visas den totala reduktionsfaktorn, dvs multiplicering av värdena från rad 2.6-2.8, som kommer användas vidare i beräkningarna
</t>
        </r>
      </text>
    </comment>
    <comment ref="G77" authorId="1" shapeId="0" xr:uid="{3387B5A7-1003-40E8-BDA6-309BA2C99CE8}">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85" authorId="1" shapeId="0" xr:uid="{369859A4-2AB4-4CAD-A155-CCDA4BFC3C11}">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86" authorId="1" shapeId="0" xr:uid="{FB205E96-296E-4648-9B89-D4B31C50763F}">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87" authorId="1" shapeId="0" xr:uid="{FD932030-0651-44E3-8D7E-01FD1424566F}">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88" authorId="1" shapeId="0" xr:uid="{CBDB319D-C43F-4F43-91ED-94621C373E16}">
      <text>
        <r>
          <rPr>
            <sz val="9"/>
            <color indexed="81"/>
            <rFont val="Tahoma"/>
            <family val="2"/>
          </rPr>
          <t xml:space="preserve">Här visas den totala reduktionsfaktorn, dvs multiplicering av värdena från rad 2.6-2.8, som kommer användas vidare i beräkningarna
</t>
        </r>
      </text>
    </comment>
    <comment ref="G89" authorId="1" shapeId="0" xr:uid="{0567C6B8-7612-490B-BFD6-4604BE3217BE}">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97" authorId="1" shapeId="0" xr:uid="{97E813FA-DFA9-4540-8979-84F946505D34}">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98" authorId="1" shapeId="0" xr:uid="{83730509-5F07-4D8D-90E2-0C5A44228E83}">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99" authorId="1" shapeId="0" xr:uid="{E3E68D86-0D42-4A52-A536-D635EA3172C0}">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00" authorId="1" shapeId="0" xr:uid="{2ED90743-186C-4D47-8354-733D3AB59B8C}">
      <text>
        <r>
          <rPr>
            <sz val="9"/>
            <color indexed="81"/>
            <rFont val="Tahoma"/>
            <family val="2"/>
          </rPr>
          <t xml:space="preserve">Här visas den totala reduktionsfaktorn, dvs multiplicering av värdena från rad 2.6-2.8, som kommer användas vidare i beräkningarna
</t>
        </r>
      </text>
    </comment>
    <comment ref="G101" authorId="1" shapeId="0" xr:uid="{373BA5FE-6D74-4B27-BD50-2E178864A472}">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09" authorId="1" shapeId="0" xr:uid="{8949ED48-13CD-4EFE-AE76-91B5234FF3E1}">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10" authorId="1" shapeId="0" xr:uid="{70938EB6-A2B2-46E3-9269-A1C97EA95DA4}">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11" authorId="1" shapeId="0" xr:uid="{240160D2-6BA3-4AB9-ABC5-2419416CDE4D}">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12" authorId="1" shapeId="0" xr:uid="{69A93A64-C586-4837-AB12-8FCD64A7416A}">
      <text>
        <r>
          <rPr>
            <sz val="9"/>
            <color indexed="81"/>
            <rFont val="Tahoma"/>
            <family val="2"/>
          </rPr>
          <t xml:space="preserve">Här visas den totala reduktionsfaktorn, dvs multiplicering av värdena från rad 2.6-2.8, som kommer användas vidare i beräkningarna
</t>
        </r>
      </text>
    </comment>
    <comment ref="G113" authorId="1" shapeId="0" xr:uid="{FE908C7C-9C3A-4F36-903D-B41F30400C0F}">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21" authorId="1" shapeId="0" xr:uid="{37CB7E7D-F2AF-4CD5-97E2-F61D7DBDAF20}">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22" authorId="1" shapeId="0" xr:uid="{3A7D77B0-E7F9-4186-AEFB-72B4B31F2DBD}">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23" authorId="1" shapeId="0" xr:uid="{03988FB0-81BF-4B8F-9CB7-0A6C97FBD94E}">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24" authorId="1" shapeId="0" xr:uid="{6D7CDA39-4118-46D0-9E3E-A5B164EEED23}">
      <text>
        <r>
          <rPr>
            <sz val="9"/>
            <color indexed="81"/>
            <rFont val="Tahoma"/>
            <family val="2"/>
          </rPr>
          <t xml:space="preserve">Här visas den totala reduktionsfaktorn, dvs multiplicering av värdena från rad 2.6-2.8, som kommer användas vidare i beräkningarna
</t>
        </r>
      </text>
    </comment>
    <comment ref="G125" authorId="1" shapeId="0" xr:uid="{A2484AF3-3EA5-4FF7-8E2E-DFA9483AFCD2}">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33" authorId="1" shapeId="0" xr:uid="{C086650C-5493-4AD3-9D18-26DA633DBF0C}">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34" authorId="1" shapeId="0" xr:uid="{29AE2E92-BE51-403C-BC3C-910E572C5CFA}">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35" authorId="1" shapeId="0" xr:uid="{1CDAC086-7F55-4DA0-AAD6-117E5E3938FC}">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36" authorId="1" shapeId="0" xr:uid="{DCE3E2B8-266A-465D-B8D4-63BC95AFB132}">
      <text>
        <r>
          <rPr>
            <sz val="9"/>
            <color indexed="81"/>
            <rFont val="Tahoma"/>
            <family val="2"/>
          </rPr>
          <t xml:space="preserve">Här visas den totala reduktionsfaktorn, dvs multiplicering av värdena från rad 2.6-2.8, som kommer användas vidare i beräkningarna
</t>
        </r>
      </text>
    </comment>
    <comment ref="G137" authorId="1" shapeId="0" xr:uid="{F1B7FCDF-E8FA-4825-BA00-F43FA3EDDED4}">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45" authorId="1" shapeId="0" xr:uid="{B8FE5A22-FBA7-45DA-8D22-44DAF4483DAB}">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46" authorId="1" shapeId="0" xr:uid="{6C7F737F-B8E9-45CE-A181-FAA57F71BB8D}">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47" authorId="1" shapeId="0" xr:uid="{6E8A376F-794B-4E9A-9ED8-4383351D0EA5}">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48" authorId="1" shapeId="0" xr:uid="{4C0F1EFF-E6CD-4DF9-A882-BEA3BE1795C2}">
      <text>
        <r>
          <rPr>
            <sz val="9"/>
            <color indexed="81"/>
            <rFont val="Tahoma"/>
            <family val="2"/>
          </rPr>
          <t xml:space="preserve">Här visas den totala reduktionsfaktorn, dvs multiplicering av värdena från rad 2.6-2.8, som kommer användas vidare i beräkningarna
</t>
        </r>
      </text>
    </comment>
    <comment ref="G149" authorId="1" shapeId="0" xr:uid="{3E4E8609-0350-418F-950F-57CA93642C7E}">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52" authorId="1" shapeId="0" xr:uid="{D2776475-0B92-4D3F-BF42-3F18FD5922CF}">
      <text>
        <r>
          <rPr>
            <sz val="9"/>
            <color indexed="81"/>
            <rFont val="Tahoma"/>
            <family val="2"/>
          </rPr>
          <t>Styrutrustning igår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daniberg</author>
    <author>Holmén, Andreas</author>
    <author>Ylva Svedenmark</author>
  </authors>
  <commentList>
    <comment ref="C15" authorId="0" shapeId="0" xr:uid="{1554F816-485D-4A92-B139-18CFE1AA34D2}">
      <text>
        <r>
          <rPr>
            <sz val="8"/>
            <color indexed="81"/>
            <rFont val="Corbel"/>
            <family val="2"/>
          </rPr>
          <t>Antal år som kalkylen omfattar. Nyttjandetiden baseras på antal år som produkten är tänkt att användas, vilket inte alltid behöver spegla den tekniska livslängden. En kortare nyttjandetid ger större vikt åt inköpspriset medan en längre nyttjandetid ger drift- och underhållskostnader större vikt</t>
        </r>
        <r>
          <rPr>
            <sz val="9"/>
            <color indexed="81"/>
            <rFont val="Corbel"/>
            <family val="2"/>
          </rPr>
          <t>.</t>
        </r>
      </text>
    </comment>
    <comment ref="C16" authorId="0" shapeId="0" xr:uid="{A46423DA-0170-46DE-83BB-91AA2BA4E732}">
      <text>
        <r>
          <rPr>
            <sz val="8"/>
            <color indexed="81"/>
            <rFont val="Corbel"/>
            <family val="2"/>
          </rPr>
          <t xml:space="preserve">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t>
        </r>
      </text>
    </comment>
    <comment ref="C17" authorId="1" shapeId="0" xr:uid="{03C112E7-68D0-4576-ADDA-EBAFDBB03A98}">
      <text>
        <r>
          <rPr>
            <sz val="8"/>
            <color indexed="81"/>
            <rFont val="Tahoma"/>
            <family val="2"/>
          </rPr>
          <t xml:space="preserve">Organisationens avtalade elpris (kr/kWh) anges. Elpriset är uppbyggt av flera komponenter. Säkerställ att prisuppgiften innehåller samma komponenter i alla jämförelser.  </t>
        </r>
      </text>
    </comment>
    <comment ref="C18" authorId="2" shapeId="0" xr:uid="{E4BCB421-2511-43C5-BDEC-E85C396E0E59}">
      <text>
        <r>
          <rPr>
            <sz val="8"/>
            <color indexed="81"/>
            <rFont val="Corbel"/>
            <family val="2"/>
          </rPr>
          <t>Faktor för beräkning av energiprisförändring utöver (rensad från) inflation. Inflationen ska räknas bort pga real kalkylränta.</t>
        </r>
      </text>
    </comment>
    <comment ref="C19" authorId="2" shapeId="0" xr:uid="{4627D67B-6DE9-4F43-82AD-6596B894BBD7}">
      <text>
        <r>
          <rPr>
            <sz val="8"/>
            <color indexed="81"/>
            <rFont val="Corbel"/>
            <family val="2"/>
          </rPr>
          <t xml:space="preserve">För att kunna beräkna klimatpåverkan från el- eller bränsleanvändningen anges här energileverantörens uppgifter om klimatpåverkan från sin elmix (koldioxidutsläpp per kilowattimme)  eller sitt bränsle. Du kan också använda riktvärden från flik 5. </t>
        </r>
      </text>
    </comment>
    <comment ref="C20" authorId="0" shapeId="0" xr:uid="{07B03BA2-5344-4723-9DF4-3F50AEB098BE}">
      <text>
        <r>
          <rPr>
            <sz val="8"/>
            <color indexed="81"/>
            <rFont val="Corbel"/>
            <family val="2"/>
          </rPr>
          <t>Här ska drifttid (h/år) för belysningen anges. Tiden ska i första hand vara baserad på befintlig driftdata. I andra hand kan man utgå från driftdata (schablonvärden) enligt standard SS-EN 15193: kontor 2500 h/år, skolor 2000 h/år, sporthallar 4000 h/år, kök 2500 h/år, sjukhus 5000 h/år. Dessa värden finns också nämnda i Ljus &amp; Rum, utgåva 4 (2022) kapitel 6.</t>
        </r>
      </text>
    </comment>
    <comment ref="G25" authorId="1" shapeId="0" xr:uid="{1C38F90C-89B4-4833-9B11-5E3B880A43AA}">
      <text>
        <r>
          <rPr>
            <sz val="8"/>
            <color indexed="81"/>
            <rFont val="Tahoma"/>
            <family val="2"/>
          </rPr>
          <t>Beskrivning av anläggningen med rumstyper och storlek på dessa måste göras i förfrågningsunderlaget. Ange rumstyp i första hand enligt benämningar i flik 4. Om flera typer och storlekar finns på t.ex. kontorsrum, benämns dessa cellkontor 1, cellkontor 2 osv.</t>
        </r>
      </text>
    </comment>
    <comment ref="G28" authorId="1" shapeId="0" xr:uid="{675F3FA4-C7A4-4B9F-8292-9312922F04C9}">
      <text>
        <r>
          <rPr>
            <sz val="9"/>
            <color indexed="81"/>
            <rFont val="Tahoma"/>
            <family val="2"/>
          </rPr>
          <t>Fyll i antal rum per rumstyp, dvs rum med samma funktion och storlek</t>
        </r>
      </text>
    </comment>
    <comment ref="G29" authorId="1" shapeId="0" xr:uid="{994B7CE0-6E8D-40FB-87EC-EC03025FD429}">
      <text>
        <r>
          <rPr>
            <sz val="9"/>
            <color indexed="81"/>
            <rFont val="Tahoma"/>
            <family val="2"/>
          </rPr>
          <t>Rummets yta matas in för att kunna beräkna rumstypens årliga energianvändning per kvadratmeter (LENI-talet). Utifrån detta kan sedan hela anläggningens årliga energianvändning enkelt beräknas, om detta efterfrågas i upphandlingen.</t>
        </r>
      </text>
    </comment>
    <comment ref="G32" authorId="1" shapeId="0" xr:uid="{F439EFCE-4229-431B-96F4-2D2B4C864A31}">
      <text>
        <r>
          <rPr>
            <sz val="9"/>
            <color indexed="81"/>
            <rFont val="Tahoma"/>
            <family val="2"/>
          </rPr>
          <t xml:space="preserve">Här ifylles antal armaturer som ingår i den föreslagna lösningen per rumstyp. Om fler typer av armaturer förekommer så ifylles dessa som armaturtyp 1, armaturtyp 2 osv. </t>
        </r>
      </text>
    </comment>
    <comment ref="G33" authorId="1" shapeId="0" xr:uid="{9BBF1C84-23F0-4722-A5F3-737D0F119EA9}">
      <text>
        <r>
          <rPr>
            <sz val="9"/>
            <color indexed="81"/>
            <rFont val="Tahoma"/>
            <family val="2"/>
          </rPr>
          <t>Här ska totala priset för armatur, ljuskälla, driftdon samt inbyggd styrutrustning anges (pris per styck). Om en armatur har fler än en ljuskälla ska dessa läggas ihop.</t>
        </r>
      </text>
    </comment>
    <comment ref="G34" authorId="1" shapeId="0" xr:uid="{D72DD957-8412-44F6-9DEF-EF4AAB25C6ED}">
      <text>
        <r>
          <rPr>
            <sz val="9"/>
            <color indexed="81"/>
            <rFont val="Tahoma"/>
            <family val="2"/>
          </rPr>
          <t xml:space="preserve">Här ingår material- och arbetskostnader för installationen, exklusive extern styrutrustning. Även kostnader för driftsättning ingår här (injustering och provning). Material kan exempelvis vara kablar. Arbetskostnader kan vara personal och maskinhyra. Om entreprenaden ingår får kostnaderna bli en uppskattning. Beräkning ska kunna uppvisas för den upphandlade organisationen.
</t>
        </r>
      </text>
    </comment>
    <comment ref="G35" authorId="1" shapeId="0" xr:uid="{E9D8741E-0B04-4B65-96A2-3FDC00F5343D}">
      <text>
        <r>
          <rPr>
            <sz val="9"/>
            <color indexed="81"/>
            <rFont val="Tahoma"/>
            <family val="2"/>
          </rPr>
          <t>Effekt per armatur (W), driftsförluster inkluderade, fylls i här.</t>
        </r>
      </text>
    </comment>
    <comment ref="G36" authorId="1" shapeId="0" xr:uid="{BB2D2E12-E6E5-44A5-AED7-92CE5F857871}">
      <text>
        <r>
          <rPr>
            <sz val="9"/>
            <color indexed="81"/>
            <rFont val="Tahoma"/>
            <family val="2"/>
          </rPr>
          <t xml:space="preserve">Välj typ av styrning (ingen, manuell, närvaro/frånvarostyrning, dagsljusstyrning och olika kombinationer av dessa.
</t>
        </r>
      </text>
    </comment>
    <comment ref="G37" authorId="1" shapeId="0" xr:uid="{5C49C812-728C-4564-B285-7615A81D474A}">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8" authorId="1" shapeId="0" xr:uid="{068E8946-3135-4C17-B15C-5F46255A6C5E}">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9" authorId="1" shapeId="0" xr:uid="{AA099FB4-123E-456D-8088-4418DDB799EB}">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40" authorId="1" shapeId="0" xr:uid="{66264E2F-7DE4-4655-967B-2548DC8824FB}">
      <text>
        <r>
          <rPr>
            <sz val="9"/>
            <color indexed="81"/>
            <rFont val="Tahoma"/>
            <family val="2"/>
          </rPr>
          <t xml:space="preserve">Här visas den totala reduktionsfaktorn, dvs multiplicering av värdena från rad 2.6-2.8, som kommer användas vidare i beräkningarna
</t>
        </r>
      </text>
    </comment>
    <comment ref="G41" authorId="1" shapeId="0" xr:uid="{9FEC7B2F-F3F2-4D09-8120-A4F8C75AC46A}">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49" authorId="1" shapeId="0" xr:uid="{74754F13-9FC5-4F8B-A313-CD7E5031243F}">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50" authorId="1" shapeId="0" xr:uid="{902AF38E-E6C6-465B-A819-6763F9EC6869}">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51" authorId="1" shapeId="0" xr:uid="{9F5D2E3D-2025-44D3-BDA6-303E80C1993B}">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52" authorId="1" shapeId="0" xr:uid="{D6E6E1B8-AF72-4EE3-94A0-033DDA2000A1}">
      <text>
        <r>
          <rPr>
            <sz val="9"/>
            <color indexed="81"/>
            <rFont val="Tahoma"/>
            <family val="2"/>
          </rPr>
          <t xml:space="preserve">Här visas den totala reduktionsfaktorn, dvs multiplicering av värdena från rad 2.6-2.8, som kommer användas vidare i beräkningarna
</t>
        </r>
      </text>
    </comment>
    <comment ref="G53" authorId="1" shapeId="0" xr:uid="{1382F149-D30D-46C6-BF78-2237A109480C}">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61" authorId="1" shapeId="0" xr:uid="{88FAFDDE-38B1-4F1A-B77E-F6BE07B3CFB7}">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62" authorId="1" shapeId="0" xr:uid="{881FD180-E277-4BE6-9AD1-A4D8547F1819}">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63" authorId="1" shapeId="0" xr:uid="{BF94486E-751E-40EF-B555-1D74FDFC78F5}">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64" authorId="1" shapeId="0" xr:uid="{312EC589-9924-4190-86A6-5E3E6CD626B6}">
      <text>
        <r>
          <rPr>
            <sz val="9"/>
            <color indexed="81"/>
            <rFont val="Tahoma"/>
            <family val="2"/>
          </rPr>
          <t xml:space="preserve">Här visas den totala reduktionsfaktorn, dvs multiplicering av värdena från rad 2.6-2.8, som kommer användas vidare i beräkningarna
</t>
        </r>
      </text>
    </comment>
    <comment ref="G65" authorId="1" shapeId="0" xr:uid="{7965E39A-9C7C-4989-B2C1-301FD1B7DAAD}">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73" authorId="1" shapeId="0" xr:uid="{FA59EAC8-8005-444C-AB8D-6EF894853964}">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74" authorId="1" shapeId="0" xr:uid="{55EF071E-CBFF-402B-B35F-05A9F74C8297}">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75" authorId="1" shapeId="0" xr:uid="{96CB62BD-9B78-41BC-A071-FA9335CEFAF6}">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76" authorId="1" shapeId="0" xr:uid="{3637F8EE-B6B4-45B2-B971-B00B4C98C381}">
      <text>
        <r>
          <rPr>
            <sz val="9"/>
            <color indexed="81"/>
            <rFont val="Tahoma"/>
            <family val="2"/>
          </rPr>
          <t xml:space="preserve">Här visas den totala reduktionsfaktorn, dvs multiplicering av värdena från rad 2.6-2.8, som kommer användas vidare i beräkningarna
</t>
        </r>
      </text>
    </comment>
    <comment ref="G77" authorId="1" shapeId="0" xr:uid="{82A4F984-2B69-4F44-A5FC-ED873D6427C4}">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85" authorId="1" shapeId="0" xr:uid="{2813A0CF-0308-4BB1-B0B7-1F78B40AD1E1}">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86" authorId="1" shapeId="0" xr:uid="{C8B73F8D-B1D5-41D9-A429-941A5DF32736}">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87" authorId="1" shapeId="0" xr:uid="{86A84A61-2696-4412-9204-2BA9E1F63C57}">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88" authorId="1" shapeId="0" xr:uid="{CDD38909-B745-4C2F-8A6C-C5B27CE10BD3}">
      <text>
        <r>
          <rPr>
            <sz val="9"/>
            <color indexed="81"/>
            <rFont val="Tahoma"/>
            <family val="2"/>
          </rPr>
          <t xml:space="preserve">Här visas den totala reduktionsfaktorn, dvs multiplicering av värdena från rad 2.6-2.8, som kommer användas vidare i beräkningarna
</t>
        </r>
      </text>
    </comment>
    <comment ref="G89" authorId="1" shapeId="0" xr:uid="{E8782D96-E5FF-47A1-8949-07E9549098A7}">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97" authorId="1" shapeId="0" xr:uid="{967095EC-E924-4D11-9C62-9DC8E4FE165D}">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98" authorId="1" shapeId="0" xr:uid="{9A354573-4B13-4BFD-900E-B17F9A15B912}">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99" authorId="1" shapeId="0" xr:uid="{E458CD08-FFBA-466C-8CDC-497C944C3F9A}">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00" authorId="1" shapeId="0" xr:uid="{322D713B-CC1E-420D-B3B2-9CFAA933B5BB}">
      <text>
        <r>
          <rPr>
            <sz val="9"/>
            <color indexed="81"/>
            <rFont val="Tahoma"/>
            <family val="2"/>
          </rPr>
          <t xml:space="preserve">Här visas den totala reduktionsfaktorn, dvs multiplicering av värdena från rad 2.6-2.8, som kommer användas vidare i beräkningarna
</t>
        </r>
      </text>
    </comment>
    <comment ref="G101" authorId="1" shapeId="0" xr:uid="{A3473A98-EC00-426E-97B2-A4D8CEBA2FEF}">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09" authorId="1" shapeId="0" xr:uid="{7F7B2D3B-4100-46A6-9F00-775B01BCD45F}">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10" authorId="1" shapeId="0" xr:uid="{012C7198-59A3-4041-887D-1F7E160B5F4B}">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11" authorId="1" shapeId="0" xr:uid="{774612FE-5843-4627-A034-8F8E49C7CC1A}">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12" authorId="1" shapeId="0" xr:uid="{DBA787D2-66AA-4E7C-9E45-7AFAC850DC5C}">
      <text>
        <r>
          <rPr>
            <sz val="9"/>
            <color indexed="81"/>
            <rFont val="Tahoma"/>
            <family val="2"/>
          </rPr>
          <t xml:space="preserve">Här visas den totala reduktionsfaktorn, dvs multiplicering av värdena från rad 2.6-2.8, som kommer användas vidare i beräkningarna
</t>
        </r>
      </text>
    </comment>
    <comment ref="G113" authorId="1" shapeId="0" xr:uid="{D5F5EF87-8476-4619-894D-A59C64C95A7F}">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21" authorId="1" shapeId="0" xr:uid="{C5E5AAD3-E19A-486B-BE7D-A2085E3EC3A5}">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22" authorId="1" shapeId="0" xr:uid="{09B61039-173A-4D3B-B5B7-83E44EA7BC41}">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23" authorId="1" shapeId="0" xr:uid="{EFD9FF6D-F480-427D-A532-16D3A65E8990}">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24" authorId="1" shapeId="0" xr:uid="{CEFCEB8F-5E5F-4FEA-9763-30B8DB55CDB6}">
      <text>
        <r>
          <rPr>
            <sz val="9"/>
            <color indexed="81"/>
            <rFont val="Tahoma"/>
            <family val="2"/>
          </rPr>
          <t xml:space="preserve">Här visas den totala reduktionsfaktorn, dvs multiplicering av värdena från rad 2.6-2.8, som kommer användas vidare i beräkningarna
</t>
        </r>
      </text>
    </comment>
    <comment ref="G125" authorId="1" shapeId="0" xr:uid="{6048F46B-BB93-4294-99C3-A3FAA615D5BD}">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33" authorId="1" shapeId="0" xr:uid="{DD98F0AE-40F2-4CD9-96BC-C44AFA13B7EE}">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34" authorId="1" shapeId="0" xr:uid="{7B930C19-041B-4B1F-8997-18F217D51F9A}">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35" authorId="1" shapeId="0" xr:uid="{ABED7F7E-D2D7-49E9-960C-2ED1E9FC9E72}">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36" authorId="1" shapeId="0" xr:uid="{0F132A3B-63C0-4056-9FD6-94F19BE5C9D1}">
      <text>
        <r>
          <rPr>
            <sz val="9"/>
            <color indexed="81"/>
            <rFont val="Tahoma"/>
            <family val="2"/>
          </rPr>
          <t xml:space="preserve">Här visas den totala reduktionsfaktorn, dvs multiplicering av värdena från rad 2.6-2.8, som kommer användas vidare i beräkningarna
</t>
        </r>
      </text>
    </comment>
    <comment ref="G137" authorId="1" shapeId="0" xr:uid="{788AE30C-5A83-47A6-82B9-D02ADDDF8F62}">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45" authorId="1" shapeId="0" xr:uid="{24A70B35-4497-4EFF-A3FF-BCDDEB65681B}">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46" authorId="1" shapeId="0" xr:uid="{CE11C069-1145-463F-9107-60849669E9B4}">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47" authorId="1" shapeId="0" xr:uid="{E6086E9C-EAA3-4899-9001-D40CF1843A0A}">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48" authorId="1" shapeId="0" xr:uid="{9AC0049C-CE11-4BAC-AB94-86BDD8AFE709}">
      <text>
        <r>
          <rPr>
            <sz val="9"/>
            <color indexed="81"/>
            <rFont val="Tahoma"/>
            <family val="2"/>
          </rPr>
          <t xml:space="preserve">Här visas den totala reduktionsfaktorn, dvs multiplicering av värdena från rad 2.6-2.8, som kommer användas vidare i beräkningarna
</t>
        </r>
      </text>
    </comment>
    <comment ref="G149" authorId="1" shapeId="0" xr:uid="{80EB0FCD-BB86-44D7-A5D1-D7AEA17A4330}">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52" authorId="1" shapeId="0" xr:uid="{F574C442-2DE2-4B60-AA8C-94869769948A}">
      <text>
        <r>
          <rPr>
            <sz val="9"/>
            <color indexed="81"/>
            <rFont val="Tahoma"/>
            <family val="2"/>
          </rPr>
          <t>Styrutrustning igår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daniberg</author>
    <author>Holmén, Andreas</author>
    <author>Ylva Svedenmark</author>
  </authors>
  <commentList>
    <comment ref="C15" authorId="0" shapeId="0" xr:uid="{4C5B3B7A-FCC3-471E-90FB-33E9650E7C32}">
      <text>
        <r>
          <rPr>
            <sz val="8"/>
            <color indexed="81"/>
            <rFont val="Corbel"/>
            <family val="2"/>
          </rPr>
          <t>Antal år som kalkylen omfattar. Nyttjandetiden baseras på antal år som produkten är tänkt att användas, vilket inte alltid behöver spegla den tekniska livslängden. En kortare nyttjandetid ger större vikt åt inköpspriset medan en längre nyttjandetid ger drift- och underhållskostnader större vikt</t>
        </r>
        <r>
          <rPr>
            <sz val="9"/>
            <color indexed="81"/>
            <rFont val="Corbel"/>
            <family val="2"/>
          </rPr>
          <t>.</t>
        </r>
      </text>
    </comment>
    <comment ref="C16" authorId="0" shapeId="0" xr:uid="{556F4789-CE57-4AC4-AB29-6C03505E3415}">
      <text>
        <r>
          <rPr>
            <sz val="8"/>
            <color indexed="81"/>
            <rFont val="Corbel"/>
            <family val="2"/>
          </rPr>
          <t xml:space="preserve">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t>
        </r>
      </text>
    </comment>
    <comment ref="C17" authorId="1" shapeId="0" xr:uid="{6A671C58-672F-44B2-9C7F-298020211902}">
      <text>
        <r>
          <rPr>
            <sz val="8"/>
            <color indexed="81"/>
            <rFont val="Tahoma"/>
            <family val="2"/>
          </rPr>
          <t xml:space="preserve">Organisationens avtalade elpris (kr/kWh) anges. Elpriset är uppbyggt av flera komponenter. Säkerställ att prisuppgiften innehåller samma komponenter i alla jämförelser.  </t>
        </r>
      </text>
    </comment>
    <comment ref="C18" authorId="2" shapeId="0" xr:uid="{FD909B48-2F2A-4417-B37F-BD2255560FE0}">
      <text>
        <r>
          <rPr>
            <sz val="8"/>
            <color indexed="81"/>
            <rFont val="Corbel"/>
            <family val="2"/>
          </rPr>
          <t>Faktor för beräkning av energiprisförändring utöver (rensad från) inflation. Inflationen ska räknas bort pga real kalkylränta.</t>
        </r>
      </text>
    </comment>
    <comment ref="C19" authorId="2" shapeId="0" xr:uid="{373267A5-428B-4664-8895-A4CA06CFED24}">
      <text>
        <r>
          <rPr>
            <sz val="8"/>
            <color indexed="81"/>
            <rFont val="Corbel"/>
            <family val="2"/>
          </rPr>
          <t xml:space="preserve">För att kunna beräkna klimatpåverkan från el- eller bränsleanvändningen anges här energileverantörens uppgifter om klimatpåverkan från sin elmix (koldioxidutsläpp per kilowattimme)  eller sitt bränsle. Du kan också använda riktvärden från flik 5. </t>
        </r>
      </text>
    </comment>
    <comment ref="C20" authorId="0" shapeId="0" xr:uid="{24F9EF9D-4397-4DB4-BA70-9BA5BC8483E6}">
      <text>
        <r>
          <rPr>
            <sz val="8"/>
            <color indexed="81"/>
            <rFont val="Corbel"/>
            <family val="2"/>
          </rPr>
          <t>Här ska drifttid (h/år) för belysningen anges. Tiden ska i första hand vara baserad på befintlig driftdata. I andra hand kan man utgå från driftdata (schablonvärden) enligt standard SS-EN 15193: kontor 2500 h/år, skolor 2000 h/år, sporthallar 4000 h/år, kök 2500 h/år, sjukhus 5000 h/år. Dessa värden finns också nämnda i Ljus &amp; Rum, utgåva 4 (2022) kapitel 6.</t>
        </r>
      </text>
    </comment>
    <comment ref="G25" authorId="1" shapeId="0" xr:uid="{51A69BDC-868D-4D4A-87DB-EB2FA46EAA79}">
      <text>
        <r>
          <rPr>
            <sz val="8"/>
            <color indexed="81"/>
            <rFont val="Tahoma"/>
            <family val="2"/>
          </rPr>
          <t>Beskrivning av anläggningen med rumstyper och storlek på dessa måste göras i förfrågningsunderlaget. Ange rumstyp i första hand enligt benämningar i flik 4. Om flera typer och storlekar finns på t.ex. kontorsrum, benämns dessa cellkontor 1, cellkontor 2 osv.</t>
        </r>
      </text>
    </comment>
    <comment ref="G28" authorId="1" shapeId="0" xr:uid="{B2998C6D-B7BF-46E6-AF32-F658C4E8F559}">
      <text>
        <r>
          <rPr>
            <sz val="9"/>
            <color indexed="81"/>
            <rFont val="Tahoma"/>
            <family val="2"/>
          </rPr>
          <t>Fyll i antal rum per rumstyp, dvs rum med samma funktion och storlek</t>
        </r>
      </text>
    </comment>
    <comment ref="G29" authorId="1" shapeId="0" xr:uid="{0AEE7462-A645-45FF-B486-2673845A5561}">
      <text>
        <r>
          <rPr>
            <sz val="9"/>
            <color indexed="81"/>
            <rFont val="Tahoma"/>
            <family val="2"/>
          </rPr>
          <t>Rummets yta matas in för att kunna beräkna rumstypens årliga energianvändning per kvadratmeter (LENI-talet). Utifrån detta kan sedan hela anläggningens årliga energianvändning enkelt beräknas, om detta efterfrågas i upphandlingen.</t>
        </r>
      </text>
    </comment>
    <comment ref="G32" authorId="1" shapeId="0" xr:uid="{70F81E9E-A9DA-47BE-8B8B-B8BAFCFD1E20}">
      <text>
        <r>
          <rPr>
            <sz val="9"/>
            <color indexed="81"/>
            <rFont val="Tahoma"/>
            <family val="2"/>
          </rPr>
          <t xml:space="preserve">Här ifylles antal armaturer som ingår i den föreslagna lösningen per rumstyp. Om fler typer av armaturer förekommer så ifylles dessa som armaturtyp 1, armaturtyp 2 osv. </t>
        </r>
      </text>
    </comment>
    <comment ref="G33" authorId="1" shapeId="0" xr:uid="{BF25B6DF-E821-4E6D-9F63-4462E25620E4}">
      <text>
        <r>
          <rPr>
            <sz val="9"/>
            <color indexed="81"/>
            <rFont val="Tahoma"/>
            <family val="2"/>
          </rPr>
          <t>Här ska totala priset för armatur, ljuskälla, driftdon samt inbyggd styrutrustning anges (pris per styck). Om en armatur har fler än en ljuskälla ska dessa läggas ihop.</t>
        </r>
      </text>
    </comment>
    <comment ref="G34" authorId="1" shapeId="0" xr:uid="{9B9F7F47-F15D-4F33-A95A-54010D04B696}">
      <text>
        <r>
          <rPr>
            <sz val="9"/>
            <color indexed="81"/>
            <rFont val="Tahoma"/>
            <family val="2"/>
          </rPr>
          <t xml:space="preserve">Här ingår material- och arbetskostnader för installationen, exklusive extern styrutrustning. Även kostnader för driftsättning ingår här (injustering och provning). Material kan exempelvis vara kablar. Arbetskostnader kan vara personal och maskinhyra. Om entreprenaden ingår får kostnaderna bli en uppskattning. Beräkning ska kunna uppvisas för den upphandlade organisationen.
</t>
        </r>
      </text>
    </comment>
    <comment ref="G35" authorId="1" shapeId="0" xr:uid="{9D7B491A-0D25-472D-AAD2-5C86A0C8AABA}">
      <text>
        <r>
          <rPr>
            <sz val="9"/>
            <color indexed="81"/>
            <rFont val="Tahoma"/>
            <family val="2"/>
          </rPr>
          <t>Effekt per armatur (W), driftsförluster inkluderade, fylls i här.</t>
        </r>
      </text>
    </comment>
    <comment ref="G36" authorId="1" shapeId="0" xr:uid="{712438FA-7377-4526-BB58-3513DC164DAC}">
      <text>
        <r>
          <rPr>
            <sz val="9"/>
            <color indexed="81"/>
            <rFont val="Tahoma"/>
            <family val="2"/>
          </rPr>
          <t xml:space="preserve">Välj typ av styrning (ingen, manuell, närvaro/frånvarostyrning, dagsljusstyrning och olika kombinationer av dessa.
</t>
        </r>
      </text>
    </comment>
    <comment ref="G37" authorId="1" shapeId="0" xr:uid="{C9EEDE0C-B5D5-4A92-B4DC-3213D104E852}">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8" authorId="1" shapeId="0" xr:uid="{17362533-E2F6-4599-A97D-52DF1FFC5FED}">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9" authorId="1" shapeId="0" xr:uid="{2E1A0240-EB79-4BBC-A46D-6E25BDA79F89}">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40" authorId="1" shapeId="0" xr:uid="{5E58A3FF-B309-46D4-A8E0-0D71AB930081}">
      <text>
        <r>
          <rPr>
            <sz val="9"/>
            <color indexed="81"/>
            <rFont val="Tahoma"/>
            <family val="2"/>
          </rPr>
          <t xml:space="preserve">Här visas den totala reduktionsfaktorn, dvs multiplicering av värdena från rad 2.6-2.8, som kommer användas vidare i beräkningarna
</t>
        </r>
      </text>
    </comment>
    <comment ref="G41" authorId="1" shapeId="0" xr:uid="{E5E26C85-2525-4558-B0C4-07A548F690D5}">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49" authorId="1" shapeId="0" xr:uid="{5B97321E-9558-418F-96A3-27FDBCDCD85C}">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50" authorId="1" shapeId="0" xr:uid="{083B3CD0-1905-4CF2-8E29-2433EA44C5C9}">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51" authorId="1" shapeId="0" xr:uid="{56B46AD3-3B1D-406B-9D38-C859EE6E360A}">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52" authorId="1" shapeId="0" xr:uid="{C96D4D3C-B05D-4AED-8D5E-20B5D68AF317}">
      <text>
        <r>
          <rPr>
            <sz val="9"/>
            <color indexed="81"/>
            <rFont val="Tahoma"/>
            <family val="2"/>
          </rPr>
          <t xml:space="preserve">Här visas den totala reduktionsfaktorn, dvs multiplicering av värdena från rad 2.6-2.8, som kommer användas vidare i beräkningarna
</t>
        </r>
      </text>
    </comment>
    <comment ref="G53" authorId="1" shapeId="0" xr:uid="{B91C311D-8216-44C1-889A-7859D996FEC3}">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61" authorId="1" shapeId="0" xr:uid="{AF51F2BF-EC68-4D1E-914B-5174A8707E0D}">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62" authorId="1" shapeId="0" xr:uid="{E0EB55D5-28A2-4F53-BBCF-6DEB33A12864}">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63" authorId="1" shapeId="0" xr:uid="{B8C24A23-9F9D-40C3-845F-86AAD434F885}">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64" authorId="1" shapeId="0" xr:uid="{F06D528A-5354-4B7D-8055-A44AF587A846}">
      <text>
        <r>
          <rPr>
            <sz val="9"/>
            <color indexed="81"/>
            <rFont val="Tahoma"/>
            <family val="2"/>
          </rPr>
          <t xml:space="preserve">Här visas den totala reduktionsfaktorn, dvs multiplicering av värdena från rad 2.6-2.8, som kommer användas vidare i beräkningarna
</t>
        </r>
      </text>
    </comment>
    <comment ref="G65" authorId="1" shapeId="0" xr:uid="{BADDBD80-8B27-454C-93B1-91E4AE04D08C}">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73" authorId="1" shapeId="0" xr:uid="{C1EC7716-A97A-402E-A628-D6F5F104AAA5}">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74" authorId="1" shapeId="0" xr:uid="{5B069716-822B-4118-A658-6B39F1BACA14}">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75" authorId="1" shapeId="0" xr:uid="{6E7ED916-9FD2-4066-ABDB-8DD3F3848916}">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76" authorId="1" shapeId="0" xr:uid="{D3B429E3-ED3C-4AE8-A8DC-59131B565917}">
      <text>
        <r>
          <rPr>
            <sz val="9"/>
            <color indexed="81"/>
            <rFont val="Tahoma"/>
            <family val="2"/>
          </rPr>
          <t xml:space="preserve">Här visas den totala reduktionsfaktorn, dvs multiplicering av värdena från rad 2.6-2.8, som kommer användas vidare i beräkningarna
</t>
        </r>
      </text>
    </comment>
    <comment ref="G77" authorId="1" shapeId="0" xr:uid="{60DC8ECE-B833-4F2C-8A23-C6DED4D30068}">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85" authorId="1" shapeId="0" xr:uid="{964E0876-B18E-471A-AA7E-4DF5DCD9CD58}">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86" authorId="1" shapeId="0" xr:uid="{C08B08BC-8D62-4A20-85AC-AE3EDA07243A}">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87" authorId="1" shapeId="0" xr:uid="{59BD77EA-448C-4471-9923-F52499611504}">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88" authorId="1" shapeId="0" xr:uid="{527B7E00-0155-4A32-A2B6-3350E3F2EAC0}">
      <text>
        <r>
          <rPr>
            <sz val="9"/>
            <color indexed="81"/>
            <rFont val="Tahoma"/>
            <family val="2"/>
          </rPr>
          <t xml:space="preserve">Här visas den totala reduktionsfaktorn, dvs multiplicering av värdena från rad 2.6-2.8, som kommer användas vidare i beräkningarna
</t>
        </r>
      </text>
    </comment>
    <comment ref="G89" authorId="1" shapeId="0" xr:uid="{1D234E7E-32B8-4D04-A3F9-BC62DE65FF0F}">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97" authorId="1" shapeId="0" xr:uid="{8BD28738-6FD0-4DA1-8120-944DD6E55D64}">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98" authorId="1" shapeId="0" xr:uid="{C80B2D7F-F788-40CD-B475-C03B0460B326}">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99" authorId="1" shapeId="0" xr:uid="{911DD82B-A052-4BCF-A52F-4DC477B51A9C}">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00" authorId="1" shapeId="0" xr:uid="{FCAB6443-8999-41E7-B1D5-C3BC1C72F462}">
      <text>
        <r>
          <rPr>
            <sz val="9"/>
            <color indexed="81"/>
            <rFont val="Tahoma"/>
            <family val="2"/>
          </rPr>
          <t xml:space="preserve">Här visas den totala reduktionsfaktorn, dvs multiplicering av värdena från rad 2.6-2.8, som kommer användas vidare i beräkningarna
</t>
        </r>
      </text>
    </comment>
    <comment ref="G101" authorId="1" shapeId="0" xr:uid="{4594161D-3038-488C-AAD2-3694E78D8F25}">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09" authorId="1" shapeId="0" xr:uid="{6AB6E62F-DC8B-4809-B36E-BE8EB8D77110}">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10" authorId="1" shapeId="0" xr:uid="{CCF3873A-C7DD-42D1-B75D-CC403456EC5A}">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11" authorId="1" shapeId="0" xr:uid="{E15106BC-EEB7-4BAC-B396-4FC622191664}">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12" authorId="1" shapeId="0" xr:uid="{C5E613CF-696C-4A6C-BFAE-FC6524012050}">
      <text>
        <r>
          <rPr>
            <sz val="9"/>
            <color indexed="81"/>
            <rFont val="Tahoma"/>
            <family val="2"/>
          </rPr>
          <t xml:space="preserve">Här visas den totala reduktionsfaktorn, dvs multiplicering av värdena från rad 2.6-2.8, som kommer användas vidare i beräkningarna
</t>
        </r>
      </text>
    </comment>
    <comment ref="G113" authorId="1" shapeId="0" xr:uid="{C946ECE1-D369-4AD7-8CB4-F6E8285C302C}">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21" authorId="1" shapeId="0" xr:uid="{DAC67EDB-7C40-4C62-8191-A89632DEB575}">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22" authorId="1" shapeId="0" xr:uid="{44784D26-38F9-4C13-9D46-8FFAAA2525C0}">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23" authorId="1" shapeId="0" xr:uid="{E8F4DB43-5B18-40DD-96A6-3BF6BD627D06}">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24" authorId="1" shapeId="0" xr:uid="{D8EF2DFE-1C43-46EF-BC38-6A22800423F7}">
      <text>
        <r>
          <rPr>
            <sz val="9"/>
            <color indexed="81"/>
            <rFont val="Tahoma"/>
            <family val="2"/>
          </rPr>
          <t xml:space="preserve">Här visas den totala reduktionsfaktorn, dvs multiplicering av värdena från rad 2.6-2.8, som kommer användas vidare i beräkningarna
</t>
        </r>
      </text>
    </comment>
    <comment ref="G125" authorId="1" shapeId="0" xr:uid="{D21D7A06-3FB4-4FDB-A3F5-E2C3A4F85EED}">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33" authorId="1" shapeId="0" xr:uid="{A6F639FF-6984-437C-8A64-0A8BEF4E2C96}">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34" authorId="1" shapeId="0" xr:uid="{D8898046-C1B9-4944-8569-02654B9DCE6E}">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35" authorId="1" shapeId="0" xr:uid="{4CC8F27D-1833-4CED-87E3-E9FB4498BD00}">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36" authorId="1" shapeId="0" xr:uid="{31FB63E4-241B-4701-846A-247A5C825FFC}">
      <text>
        <r>
          <rPr>
            <sz val="9"/>
            <color indexed="81"/>
            <rFont val="Tahoma"/>
            <family val="2"/>
          </rPr>
          <t xml:space="preserve">Här visas den totala reduktionsfaktorn, dvs multiplicering av värdena från rad 2.6-2.8, som kommer användas vidare i beräkningarna
</t>
        </r>
      </text>
    </comment>
    <comment ref="G137" authorId="1" shapeId="0" xr:uid="{9CDD8021-6D4F-43E4-A18E-00564205132C}">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45" authorId="1" shapeId="0" xr:uid="{E60D3B51-D6DE-45D9-91A2-274EFD488AB9}">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46" authorId="1" shapeId="0" xr:uid="{E6501C1D-4C5A-4F63-8CEA-00258CD388AF}">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47" authorId="1" shapeId="0" xr:uid="{A42D23AA-46F5-405B-88EC-475D31FE30B7}">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48" authorId="1" shapeId="0" xr:uid="{29AFAC06-8398-4E42-A8F0-1B4082AB0287}">
      <text>
        <r>
          <rPr>
            <sz val="9"/>
            <color indexed="81"/>
            <rFont val="Tahoma"/>
            <family val="2"/>
          </rPr>
          <t xml:space="preserve">Här visas den totala reduktionsfaktorn, dvs multiplicering av värdena från rad 2.6-2.8, som kommer användas vidare i beräkningarna
</t>
        </r>
      </text>
    </comment>
    <comment ref="G149" authorId="1" shapeId="0" xr:uid="{115B25D6-5FB5-423F-8FE4-C3EF1DD16E09}">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52" authorId="1" shapeId="0" xr:uid="{28FDAE7E-8114-40EC-A17D-533746C37492}">
      <text>
        <r>
          <rPr>
            <sz val="9"/>
            <color indexed="81"/>
            <rFont val="Tahoma"/>
            <family val="2"/>
          </rPr>
          <t>Styrutrustning igår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daniberg</author>
    <author>Holmén, Andreas</author>
    <author>Ylva Svedenmark</author>
  </authors>
  <commentList>
    <comment ref="C15" authorId="0" shapeId="0" xr:uid="{E660032D-2488-482B-A330-8ED9FB78E207}">
      <text>
        <r>
          <rPr>
            <sz val="8"/>
            <color indexed="81"/>
            <rFont val="Corbel"/>
            <family val="2"/>
          </rPr>
          <t>Antal år som kalkylen omfattar. Nyttjandetiden baseras på antal år som produkten är tänkt att användas, vilket inte alltid behöver spegla den tekniska livslängden. En kortare nyttjandetid ger större vikt åt inköpspriset medan en längre nyttjandetid ger drift- och underhållskostnader större vikt</t>
        </r>
        <r>
          <rPr>
            <sz val="9"/>
            <color indexed="81"/>
            <rFont val="Corbel"/>
            <family val="2"/>
          </rPr>
          <t>.</t>
        </r>
      </text>
    </comment>
    <comment ref="C16" authorId="0" shapeId="0" xr:uid="{753A96B7-3523-4399-AA36-480A3A55F4E5}">
      <text>
        <r>
          <rPr>
            <sz val="8"/>
            <color indexed="81"/>
            <rFont val="Corbel"/>
            <family val="2"/>
          </rPr>
          <t xml:space="preserve">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t>
        </r>
      </text>
    </comment>
    <comment ref="C17" authorId="1" shapeId="0" xr:uid="{0C891F1F-CC42-4CC2-BCDD-015CDF0B0A59}">
      <text>
        <r>
          <rPr>
            <sz val="8"/>
            <color indexed="81"/>
            <rFont val="Tahoma"/>
            <family val="2"/>
          </rPr>
          <t xml:space="preserve">Organisationens avtalade elpris (kr/kWh) anges. Elpriset är uppbyggt av flera komponenter. Säkerställ att prisuppgiften innehåller samma komponenter i alla jämförelser.  </t>
        </r>
      </text>
    </comment>
    <comment ref="C18" authorId="2" shapeId="0" xr:uid="{5BF5742F-0600-4263-920F-B2E47BA0FAD5}">
      <text>
        <r>
          <rPr>
            <sz val="8"/>
            <color indexed="81"/>
            <rFont val="Corbel"/>
            <family val="2"/>
          </rPr>
          <t>Faktor för beräkning av energiprisförändring utöver (rensad från) inflation. Inflationen ska räknas bort pga real kalkylränta.</t>
        </r>
      </text>
    </comment>
    <comment ref="C19" authorId="2" shapeId="0" xr:uid="{DE5C9E1C-D300-445B-A7DC-8381A26D7DE4}">
      <text>
        <r>
          <rPr>
            <sz val="8"/>
            <color indexed="81"/>
            <rFont val="Corbel"/>
            <family val="2"/>
          </rPr>
          <t xml:space="preserve">För att kunna beräkna klimatpåverkan från el- eller bränsleanvändningen anges här energileverantörens uppgifter om klimatpåverkan från sin elmix (koldioxidutsläpp per kilowattimme)  eller sitt bränsle. Du kan också använda riktvärden från flik 5. </t>
        </r>
      </text>
    </comment>
    <comment ref="C20" authorId="0" shapeId="0" xr:uid="{8E0E860C-2011-4B72-9385-42B994504FA7}">
      <text>
        <r>
          <rPr>
            <sz val="8"/>
            <color indexed="81"/>
            <rFont val="Corbel"/>
            <family val="2"/>
          </rPr>
          <t>Här ska drifttid (h/år) för belysningen anges. Tiden ska i första hand vara baserad på befintlig driftdata. I andra hand kan man utgå från driftdata (schablonvärden) enligt standard SS-EN 15193: kontor 2500 h/år, skolor 2000 h/år, sporthallar 4000 h/år, kök 2500 h/år, sjukhus 5000 h/år. Dessa värden finns också nämnda i Ljus &amp; Rum, utgåva 4 (2022) kapitel 6.</t>
        </r>
      </text>
    </comment>
    <comment ref="G25" authorId="1" shapeId="0" xr:uid="{141E2B42-0506-4A7A-B1A0-D2D1587CCA85}">
      <text>
        <r>
          <rPr>
            <sz val="8"/>
            <color indexed="81"/>
            <rFont val="Tahoma"/>
            <family val="2"/>
          </rPr>
          <t>Beskrivning av anläggningen med rumstyper och storlek på dessa måste göras i förfrågningsunderlaget. Ange rumstyp i första hand enligt benämningar i flik 4. Om flera typer och storlekar finns på t.ex. kontorsrum, benämns dessa cellkontor 1, cellkontor 2 osv.</t>
        </r>
      </text>
    </comment>
    <comment ref="G28" authorId="1" shapeId="0" xr:uid="{F7C109C2-0567-4BB7-A7A3-421F417BD1DC}">
      <text>
        <r>
          <rPr>
            <sz val="9"/>
            <color indexed="81"/>
            <rFont val="Tahoma"/>
            <family val="2"/>
          </rPr>
          <t>Fyll i antal rum per rumstyp, dvs rum med samma funktion och storlek</t>
        </r>
      </text>
    </comment>
    <comment ref="G29" authorId="1" shapeId="0" xr:uid="{30E7B6D7-24BE-4120-A77C-576238F781D6}">
      <text>
        <r>
          <rPr>
            <sz val="9"/>
            <color indexed="81"/>
            <rFont val="Tahoma"/>
            <family val="2"/>
          </rPr>
          <t>Rummets yta matas in för att kunna beräkna rumstypens årliga energianvändning per kvadratmeter (LENI-talet). Utifrån detta kan sedan hela anläggningens årliga energianvändning enkelt beräknas, om detta efterfrågas i upphandlingen.</t>
        </r>
      </text>
    </comment>
    <comment ref="G32" authorId="1" shapeId="0" xr:uid="{4750E23E-51C3-4C17-BB50-0233C741EAB0}">
      <text>
        <r>
          <rPr>
            <sz val="9"/>
            <color indexed="81"/>
            <rFont val="Tahoma"/>
            <family val="2"/>
          </rPr>
          <t xml:space="preserve">Här ifylles antal armaturer som ingår i den föreslagna lösningen per rumstyp. Om fler typer av armaturer förekommer så ifylles dessa som armaturtyp 1, armaturtyp 2 osv. </t>
        </r>
      </text>
    </comment>
    <comment ref="G33" authorId="1" shapeId="0" xr:uid="{D39724E1-10C7-4F68-AB63-DCC0A357358B}">
      <text>
        <r>
          <rPr>
            <sz val="9"/>
            <color indexed="81"/>
            <rFont val="Tahoma"/>
            <family val="2"/>
          </rPr>
          <t>Här ska totala priset för armatur, ljuskälla, driftdon samt inbyggd styrutrustning anges (pris per styck). Om en armatur har fler än en ljuskälla ska dessa läggas ihop.</t>
        </r>
      </text>
    </comment>
    <comment ref="G34" authorId="1" shapeId="0" xr:uid="{8D54AE51-C607-4BEE-92D4-4AEA9855A7CA}">
      <text>
        <r>
          <rPr>
            <sz val="9"/>
            <color indexed="81"/>
            <rFont val="Tahoma"/>
            <family val="2"/>
          </rPr>
          <t xml:space="preserve">Här ingår material- och arbetskostnader för installationen, exklusive extern styrutrustning. Även kostnader för driftsättning ingår här (injustering och provning). Material kan exempelvis vara kablar. Arbetskostnader kan vara personal och maskinhyra. Om entreprenaden ingår får kostnaderna bli en uppskattning. Beräkning ska kunna uppvisas för den upphandlade organisationen.
</t>
        </r>
      </text>
    </comment>
    <comment ref="G35" authorId="1" shapeId="0" xr:uid="{A73E4F22-C99C-4543-8B44-88C66F997144}">
      <text>
        <r>
          <rPr>
            <sz val="9"/>
            <color indexed="81"/>
            <rFont val="Tahoma"/>
            <family val="2"/>
          </rPr>
          <t>Effekt per armatur (W), driftsförluster inkluderade, fylls i här.</t>
        </r>
      </text>
    </comment>
    <comment ref="G36" authorId="1" shapeId="0" xr:uid="{A1C479B3-A25B-44B0-BAEE-B483B4E4D156}">
      <text>
        <r>
          <rPr>
            <sz val="9"/>
            <color indexed="81"/>
            <rFont val="Tahoma"/>
            <family val="2"/>
          </rPr>
          <t xml:space="preserve">Välj typ av styrning (ingen, manuell, närvaro/frånvarostyrning, dagsljusstyrning och olika kombinationer av dessa.
</t>
        </r>
      </text>
    </comment>
    <comment ref="G37" authorId="1" shapeId="0" xr:uid="{B7FC30F9-CA3E-46B3-855F-CC20E2E4E062}">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8" authorId="1" shapeId="0" xr:uid="{A0EC750C-50C3-485C-8A92-04323352E89A}">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9" authorId="1" shapeId="0" xr:uid="{E48044E8-421A-4FCD-A900-4E33B552770E}">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40" authorId="1" shapeId="0" xr:uid="{69973DD9-B648-4BD3-B95A-156A10A950BE}">
      <text>
        <r>
          <rPr>
            <sz val="9"/>
            <color indexed="81"/>
            <rFont val="Tahoma"/>
            <family val="2"/>
          </rPr>
          <t xml:space="preserve">Här visas den totala reduktionsfaktorn, dvs multiplicering av värdena från rad 2.6-2.8, som kommer användas vidare i beräkningarna
</t>
        </r>
      </text>
    </comment>
    <comment ref="G41" authorId="1" shapeId="0" xr:uid="{2856FFF3-3A7B-4379-A566-F0189CEE4A35}">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49" authorId="1" shapeId="0" xr:uid="{3E7F3E5E-40E0-4606-8093-F70B0EA05C50}">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50" authorId="1" shapeId="0" xr:uid="{0E3B0F95-B3C2-460C-AB03-B6D14CB4DB8E}">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51" authorId="1" shapeId="0" xr:uid="{DF1093E2-8231-476F-92BE-DBC3AC1618D9}">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52" authorId="1" shapeId="0" xr:uid="{A86840EB-4C36-46AD-AC67-599B4E73107A}">
      <text>
        <r>
          <rPr>
            <sz val="9"/>
            <color indexed="81"/>
            <rFont val="Tahoma"/>
            <family val="2"/>
          </rPr>
          <t xml:space="preserve">Här visas den totala reduktionsfaktorn, dvs multiplicering av värdena från rad 2.6-2.8, som kommer användas vidare i beräkningarna
</t>
        </r>
      </text>
    </comment>
    <comment ref="G53" authorId="1" shapeId="0" xr:uid="{7065473F-7F21-41C7-B40F-E9B055BF6E7C}">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61" authorId="1" shapeId="0" xr:uid="{5DADC730-CA9D-4258-9E02-42A20B65C557}">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62" authorId="1" shapeId="0" xr:uid="{744E38E9-3952-45A3-BA60-6FD32EAA7CF2}">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63" authorId="1" shapeId="0" xr:uid="{D0546744-979B-498A-BC46-C85ED1BDDDC3}">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64" authorId="1" shapeId="0" xr:uid="{B122A655-006A-4A7F-8E31-416DA23CC486}">
      <text>
        <r>
          <rPr>
            <sz val="9"/>
            <color indexed="81"/>
            <rFont val="Tahoma"/>
            <family val="2"/>
          </rPr>
          <t xml:space="preserve">Här visas den totala reduktionsfaktorn, dvs multiplicering av värdena från rad 2.6-2.8, som kommer användas vidare i beräkningarna
</t>
        </r>
      </text>
    </comment>
    <comment ref="G65" authorId="1" shapeId="0" xr:uid="{13DEEE31-497E-4883-AF29-DF2C049651FD}">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73" authorId="1" shapeId="0" xr:uid="{8D4E536F-C991-4130-9456-3474A8902D01}">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74" authorId="1" shapeId="0" xr:uid="{D67556B7-7E81-47E9-94C4-4356B8A05450}">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75" authorId="1" shapeId="0" xr:uid="{9941B823-1E51-4895-9D35-9D20A8E88FE6}">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76" authorId="1" shapeId="0" xr:uid="{66C61F19-0CC0-454D-95E3-3EE2E00025C9}">
      <text>
        <r>
          <rPr>
            <sz val="9"/>
            <color indexed="81"/>
            <rFont val="Tahoma"/>
            <family val="2"/>
          </rPr>
          <t xml:space="preserve">Här visas den totala reduktionsfaktorn, dvs multiplicering av värdena från rad 2.6-2.8, som kommer användas vidare i beräkningarna
</t>
        </r>
      </text>
    </comment>
    <comment ref="G77" authorId="1" shapeId="0" xr:uid="{A6FF54A9-6576-4961-9345-12A91DBB63C4}">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85" authorId="1" shapeId="0" xr:uid="{FCE2B2BD-6425-48A5-9F14-1BA57B3EFE3C}">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86" authorId="1" shapeId="0" xr:uid="{F6914E51-A15E-49F0-8FBF-FE3DD774A756}">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87" authorId="1" shapeId="0" xr:uid="{CB4EC67D-B844-46AD-9466-BEF8031484D1}">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88" authorId="1" shapeId="0" xr:uid="{D0FF29AC-F89B-4596-86E6-00640FF9C49B}">
      <text>
        <r>
          <rPr>
            <sz val="9"/>
            <color indexed="81"/>
            <rFont val="Tahoma"/>
            <family val="2"/>
          </rPr>
          <t xml:space="preserve">Här visas den totala reduktionsfaktorn, dvs multiplicering av värdena från rad 2.6-2.8, som kommer användas vidare i beräkningarna
</t>
        </r>
      </text>
    </comment>
    <comment ref="G89" authorId="1" shapeId="0" xr:uid="{913A746D-8676-4B4D-974A-2E24D204870B}">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97" authorId="1" shapeId="0" xr:uid="{25BD7DDE-23DB-4208-9BBE-DE1EAFB9FAB5}">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98" authorId="1" shapeId="0" xr:uid="{A9659AFD-8CE3-4069-B717-41CFBDC37E00}">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99" authorId="1" shapeId="0" xr:uid="{C5E11547-1F86-4E15-8C33-A618F8504D8C}">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00" authorId="1" shapeId="0" xr:uid="{839C8F43-C1E1-4010-A1BD-C204C985CBFE}">
      <text>
        <r>
          <rPr>
            <sz val="9"/>
            <color indexed="81"/>
            <rFont val="Tahoma"/>
            <family val="2"/>
          </rPr>
          <t xml:space="preserve">Här visas den totala reduktionsfaktorn, dvs multiplicering av värdena från rad 2.6-2.8, som kommer användas vidare i beräkningarna
</t>
        </r>
      </text>
    </comment>
    <comment ref="G101" authorId="1" shapeId="0" xr:uid="{588891BF-D2C5-4274-B83B-48B6C6D788B4}">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09" authorId="1" shapeId="0" xr:uid="{272B7116-06B6-4C19-AB22-6E8B56785FD2}">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10" authorId="1" shapeId="0" xr:uid="{23104E39-4ED5-4F79-9D2A-B810CBE9776B}">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11" authorId="1" shapeId="0" xr:uid="{C8EF061A-DB2A-4C83-A007-6FF4E5EE8D90}">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12" authorId="1" shapeId="0" xr:uid="{B978B5F8-5DBC-4581-ABD3-5F5609E4947A}">
      <text>
        <r>
          <rPr>
            <sz val="9"/>
            <color indexed="81"/>
            <rFont val="Tahoma"/>
            <family val="2"/>
          </rPr>
          <t xml:space="preserve">Här visas den totala reduktionsfaktorn, dvs multiplicering av värdena från rad 2.6-2.8, som kommer användas vidare i beräkningarna
</t>
        </r>
      </text>
    </comment>
    <comment ref="G113" authorId="1" shapeId="0" xr:uid="{BB389534-2062-4B09-BED7-E5FEE3D725C4}">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21" authorId="1" shapeId="0" xr:uid="{CEF88F7A-34B4-4284-B53A-B09ABA29A486}">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22" authorId="1" shapeId="0" xr:uid="{B4935A87-1670-4BE8-A9A8-B57242FA3012}">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23" authorId="1" shapeId="0" xr:uid="{616F1A19-A347-4F42-8519-70F96C73910D}">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24" authorId="1" shapeId="0" xr:uid="{32D49131-0FB8-4157-A36C-7BF641D48909}">
      <text>
        <r>
          <rPr>
            <sz val="9"/>
            <color indexed="81"/>
            <rFont val="Tahoma"/>
            <family val="2"/>
          </rPr>
          <t xml:space="preserve">Här visas den totala reduktionsfaktorn, dvs multiplicering av värdena från rad 2.6-2.8, som kommer användas vidare i beräkningarna
</t>
        </r>
      </text>
    </comment>
    <comment ref="G125" authorId="1" shapeId="0" xr:uid="{5FECC572-1160-4BCC-85A4-8832C24227D0}">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33" authorId="1" shapeId="0" xr:uid="{A9EED01B-3EEC-46B8-846D-CE1B0A836367}">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34" authorId="1" shapeId="0" xr:uid="{DE9F748A-283F-4BE2-87AF-CFDC5C026880}">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35" authorId="1" shapeId="0" xr:uid="{F5467C27-F0FA-4569-9B24-BE271F345CD6}">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36" authorId="1" shapeId="0" xr:uid="{94C77567-E4E3-4D1A-A782-70474CEA6B33}">
      <text>
        <r>
          <rPr>
            <sz val="9"/>
            <color indexed="81"/>
            <rFont val="Tahoma"/>
            <family val="2"/>
          </rPr>
          <t xml:space="preserve">Här visas den totala reduktionsfaktorn, dvs multiplicering av värdena från rad 2.6-2.8, som kommer användas vidare i beräkningarna
</t>
        </r>
      </text>
    </comment>
    <comment ref="G137" authorId="1" shapeId="0" xr:uid="{0E75630F-DE1F-4F65-B679-3F43D3C2C7DA}">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45" authorId="1" shapeId="0" xr:uid="{2774CB14-DC9B-4969-8A64-BD62F56AD0FF}">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46" authorId="1" shapeId="0" xr:uid="{626A2BE9-6125-4FEC-B7E2-C651C3918A16}">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147" authorId="1" shapeId="0" xr:uid="{98943F29-7095-4496-8189-40A8C91240B0}">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148" authorId="1" shapeId="0" xr:uid="{59C5132A-529F-4E5C-9BD3-73DF8AF69599}">
      <text>
        <r>
          <rPr>
            <sz val="9"/>
            <color indexed="81"/>
            <rFont val="Tahoma"/>
            <family val="2"/>
          </rPr>
          <t xml:space="preserve">Här visas den totala reduktionsfaktorn, dvs multiplicering av värdena från rad 2.6-2.8, som kommer användas vidare i beräkningarna
</t>
        </r>
      </text>
    </comment>
    <comment ref="G149" authorId="1" shapeId="0" xr:uid="{97C6BB8B-9F76-4C11-AE47-317013363B05}">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52" authorId="1" shapeId="0" xr:uid="{910E6ACA-FECB-4A92-8137-72E0331692DB}">
      <text>
        <r>
          <rPr>
            <sz val="9"/>
            <color indexed="81"/>
            <rFont val="Tahoma"/>
            <family val="2"/>
          </rPr>
          <t>Styrutrustning igår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Ylva Svedenmark</author>
  </authors>
  <commentList>
    <comment ref="H29" authorId="0" shapeId="0" xr:uid="{973E3876-D369-4112-93BA-3FCCDB3FDEE3}">
      <text>
        <r>
          <rPr>
            <sz val="8"/>
            <color indexed="81"/>
            <rFont val="Corbel"/>
            <family val="2"/>
          </rPr>
          <t xml:space="preserve">Data för matsal, kök, personalrum hämtade från värdena för "restaurang", justerade till drifttid 2000h/år.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<sst xmlns="http://schemas.openxmlformats.org/spreadsheetml/2006/main" count="2656" uniqueCount="346">
  <si>
    <t>(PW: LCC)</t>
  </si>
  <si>
    <t>LCC-kalkyl för upphandling av inomhusbelysning</t>
  </si>
  <si>
    <t>Version 3.0</t>
  </si>
  <si>
    <t>Datum: 2024-12-17</t>
  </si>
  <si>
    <t>Introduktion</t>
  </si>
  <si>
    <t>Generella instruktioner kring hur verktyget används.</t>
  </si>
  <si>
    <t>Versionsinformation</t>
  </si>
  <si>
    <t xml:space="preserve">Upphandlingsmyndighetens LCC-verktyg har utvecklats i omgångar sedan 2009. </t>
  </si>
  <si>
    <r>
      <rPr>
        <b/>
        <sz val="10"/>
        <rFont val="Corbel"/>
        <family val="2"/>
      </rPr>
      <t xml:space="preserve">Ändringar i senaste versionen (v 3.2) av LCC-verktyg Inomhusbelysning: </t>
    </r>
    <r>
      <rPr>
        <sz val="10"/>
        <rFont val="Corbel"/>
        <family val="2"/>
      </rPr>
      <t xml:space="preserve">
Flik 1 har uppdaterats med denna versionsinformation och information om nytt lösenordsskydd, texter är genomgångna och uppdaterade. 
Flik 2 (4 alt) är nu utan makrofunktion att lägga till/ta bort rumstyper och armaturtyper.</t>
    </r>
    <r>
      <rPr>
        <i/>
        <sz val="10"/>
        <rFont val="Corbel"/>
        <family val="2"/>
      </rPr>
      <t xml:space="preserve"> Ny funktion med förinställda byggnadstyper och rumstyper som hämtar reduktionsfaktorer från flik 4. Observera att funktionalitet förloras om värdet skrivs över. (Kursiverat är ändrat sedan v 3.0).Version 3.2 har en ruta för drifttid som kan väljas från förinställda byggnadstyper, eller så kan ett eget värde skrivas in i raden under.</t>
    </r>
    <r>
      <rPr>
        <sz val="10"/>
        <rFont val="Corbel"/>
        <family val="2"/>
      </rPr>
      <t xml:space="preserve">
Flik 3 är texter genomgångna och uppdaterade. 
Flik 4 har uppdaterats med riktlinjer för installerad effekt och jämförelsetal energianvändning (LENI-tal) enligt Ljus &amp; Rum utgåva 4 (2022).
Flik 5 har uppdaterats med aktuella beräkningsfaktorer klimat samt källor.</t>
    </r>
  </si>
  <si>
    <r>
      <rPr>
        <b/>
        <sz val="14"/>
        <rFont val="Corbel"/>
        <family val="2"/>
      </rPr>
      <t>Vad är LCC?</t>
    </r>
    <r>
      <rPr>
        <sz val="14"/>
        <rFont val="Corbel"/>
        <family val="2"/>
      </rPr>
      <t xml:space="preserve">
</t>
    </r>
  </si>
  <si>
    <t xml:space="preserve">LCC står för "Life Cycle Costs" - livscykelkostnader. Med hjälp av en LCC-beräkning erhålls en totalbild över varans, tjänstens eller anläggningens kostnader under hela dess nyttjandetid. Jämförelser mellan olika produktalternativ och lösningar kan göras.  Livscykelkostnadsperspektivet kan med fördel användas i flera delar av inköpsprocessen och även i det strategiska arbetet med organisationens budget. </t>
  </si>
  <si>
    <t>Läs mer om LCC på Upphandlingsmyndighetens webbplats</t>
  </si>
  <si>
    <t>Hur ska jag använda detta LCC-verktyg?</t>
  </si>
  <si>
    <t xml:space="preserve">Detta LCC-verktyg är specifikt utvecklat att användas vid upphandling av inomhusbelysning. Verktyget kan med fördel användas både i behovsanalysen, vid kravställande och i anbudsutvärderingen. I behovsanalysen kan verktyget användas för att i ett tidigt skede få en översikt över vilka typer av kostnader som förekommer under nyttjandetiden och hur stora dessa kostnader är. För en belysningsanläggning utgör exempelvis driftskostnaden för energi en stor kostnadspost. Detta kan till exempel testas med olika scenarier för energiprisökning, eller med olika styrfunktioner. Att använda verktyget på det sättet ökar medvetenheten i organisationen och kan vara ett bra underlag till viktiga vägval inför upphandlingen. Använd gärna kalkylparametrarna som en checklista, exempelvis inför leverantörsdialogen. 
När LCC-beräkning ställs som krav i upphandlingen måste förfrågningsunderlaget beskriva de parametrar som ska ingå i beräkningen, hur dessa ska dokumenteras och vilka mätmetoder som ska användas. Använd gärna kriteriet "belysningsanläggningens livscykelkostnad (LCC)" som kan laddas hem genom Upphandlingsmyndighetens kriterietjänst. En tumregel är att vid kravställande endast ta med de stora kostnadsposterna eller de kostnader som förväntas skilja sig åt mellan olika leverantörer. 
</t>
  </si>
  <si>
    <r>
      <rPr>
        <b/>
        <sz val="18"/>
        <rFont val="Corbel"/>
        <family val="2"/>
      </rPr>
      <t>Lösenordsskydd</t>
    </r>
    <r>
      <rPr>
        <sz val="10"/>
        <rFont val="Corbel"/>
        <family val="2"/>
      </rPr>
      <t xml:space="preserve">
Varje flik i Excelfilen är skyddad med ett lösenord, för att förhindra oavsiktliga förändringar i LCC-kalkylen. 
- För att låsa upp välj Granska &gt; Ta bort bladets skydd.                                 </t>
    </r>
  </si>
  <si>
    <t xml:space="preserve">Vid anbudsutvärdering vägs livscykelkostnaden in som en parameter för bedömning av det ekonomiskt mest fördelaktiga anbudet. Kvalitativa krav på belysningsanläggningen, såsom ljuskvalitet, ingår inte i kalkylen utan måste kravställas i förfrågningsunderlaget.
I detta LCC-verktyg finns även möjlighet till jämförelse av alternativens klimatpåverkan från energianvändningen under nyttjandetiden. </t>
  </si>
  <si>
    <t xml:space="preserve"> - Lösenordet är LCC. </t>
  </si>
  <si>
    <t xml:space="preserve">Hur är LCC-verktyget uppbyggt?
</t>
  </si>
  <si>
    <r>
      <t xml:space="preserve">Verktyget består av 7  flikar:
1. Introduktion: generella instruktioner kring hur verktyget används. 
2. LCC-kalkyl A1-4: Fyra stycken kalkylblad där LCC-beräkningen utförs med standardiserade parametrar. Ett blad används per anläggning. 
3. Kalkylparametrar: Samlade instruktioner kring vad kalkylparametrarna innebär och vad som ska ingå.
4. Reduktionsfaktorer styrning: reduktionsfaktorer för belysningsstyrning, hämtade från Belysningsbranschens handbok "Ljus &amp; Rum".
5. Beräkningsfaktorer klimatpåverkan: frivilliga indata för att kunna beräkna klimatpåverkan från elenergi.
6. Resultat: visuell översikt över LCC-beräkningens resultat.
7. Svarsformulär: svarsformulär som leverantören bifogar anbudet. 
</t>
    </r>
    <r>
      <rPr>
        <b/>
        <sz val="10"/>
        <rFont val="Corbel"/>
        <family val="2"/>
      </rPr>
      <t xml:space="preserve">
Beskrivning av anläggningen med rumstyper och storlek på dessa måste göras i förfrågningsunderlaget. </t>
    </r>
    <r>
      <rPr>
        <sz val="10"/>
        <rFont val="Corbel"/>
        <family val="2"/>
      </rPr>
      <t xml:space="preserve">
</t>
    </r>
    <r>
      <rPr>
        <b/>
        <sz val="10"/>
        <rFont val="Corbel"/>
        <family val="2"/>
      </rPr>
      <t>Beställaren</t>
    </r>
    <r>
      <rPr>
        <sz val="10"/>
        <rFont val="Corbel"/>
        <family val="2"/>
      </rPr>
      <t xml:space="preserve"> (upphandlande myndighet) anger kalkylförutsättningar och information kring användning; detta utgör grunden för beräkningen. Läs mer om kalkylförutsättningar och ekonomiska parametrar på länken under rubriken </t>
    </r>
    <r>
      <rPr>
        <i/>
        <sz val="10"/>
        <rFont val="Corbel"/>
        <family val="2"/>
      </rPr>
      <t>Vad är LCC</t>
    </r>
    <r>
      <rPr>
        <sz val="10"/>
        <rFont val="Corbel"/>
        <family val="2"/>
      </rPr>
      <t xml:space="preserve"> ovan.
</t>
    </r>
    <r>
      <rPr>
        <b/>
        <sz val="10"/>
        <rFont val="Corbel"/>
        <family val="2"/>
      </rPr>
      <t>Anbudsgivaren</t>
    </r>
    <r>
      <rPr>
        <sz val="10"/>
        <rFont val="Corbel"/>
        <family val="2"/>
      </rPr>
      <t xml:space="preserve"> fyller i resterande uppgifter i kalkylbladet (indata) enligt de standarder eller instruktioner som anges. Kostnaderna anges utan moms. I kolumnerna anges de olika rumstyper som förekommer i belysningsanläggningen enligt beställarens beskrivning i förfrågningsunderlaget. Rummen summeras i slutet och LCC-resultatet för hela anläggningen visas. Ett kalkylblad per anläggning används. Alternativa investeringslösningar, om sådana finns, anges i  kalkylblad A2-A4. Anbudsgivaren fyller i svarsformuläret (ett formulär per typrum) och bifogar den till beställaren. 
</t>
    </r>
    <r>
      <rPr>
        <b/>
        <sz val="10"/>
        <rFont val="Corbel"/>
        <family val="2"/>
      </rPr>
      <t>Beställaren</t>
    </r>
    <r>
      <rPr>
        <sz val="10"/>
        <rFont val="Corbel"/>
        <family val="2"/>
      </rPr>
      <t xml:space="preserve"> kan sedan föra in varje anbudsgivares uppgifter i ett nytt kalkylblad för att kunna jämföra alla anbud i resultatfliken. Beställaren kan även använda ett av kalkylbladen A1-A4 för att fylla i information kring befintlig anläggning om sådan finns; detta för att tydliggöra förbättringarna med en ny eller renoverad anläggning. 
LCC-kalkylerna är baserade på nuvärdesmetoden för att kunna omräkna framtida kostnader till dagens värde. Omräkningsfaktorer till nuvärde är inkluderade i formlerna. Kalkylränta, elpris och användningstid är exempel på parametrar som kan variera och som måste beslutas i den upphandlande organisationen. Kostnadsbilden påverkas beroende på valet av dessa parametrar, exempelvis innebär en hög ränta att pengarnas värde sjunker under kalkylperioden och vid låg ränta behåller pengarna sitt värde. En lång användningstid gör att driftskostnadernas betydelse ökar i kalkylen. För att få en förståelse för effekten på slutresultatet vid olika scenarier, t.ex. energiprisökning, kan kalkylen testas med ett antal olika värden. 
</t>
    </r>
  </si>
  <si>
    <t>Kontakt</t>
  </si>
  <si>
    <t>Upphandlingsmyndigheten utvecklar och förvaltar LCC-verktygen som är frivilliga att använda inom såväl offentlig som privat sektor. Upphandlingsmyndigheten står för innehållet i denna version. Eventuella ändringar görs på eget ansvar. Vid frågor om verktyget kan du kontakta oss via vår frågeportal på www.upphandlingsmyndigheten.se.</t>
  </si>
  <si>
    <t>LCC-kalkyl Anläggning alternativ 1</t>
  </si>
  <si>
    <r>
      <t xml:space="preserve">Kalkylförutsättningar </t>
    </r>
    <r>
      <rPr>
        <b/>
        <sz val="12"/>
        <rFont val="Corbel"/>
        <family val="2"/>
      </rPr>
      <t>(anges av beställaren)</t>
    </r>
  </si>
  <si>
    <t>Byggnadstyp</t>
  </si>
  <si>
    <t>PROJEKT:</t>
  </si>
  <si>
    <t>Projektnamn</t>
  </si>
  <si>
    <t>Kontor</t>
  </si>
  <si>
    <t>DATUM:</t>
  </si>
  <si>
    <t>ÅÅÅÅ-MM-DD</t>
  </si>
  <si>
    <t>Skola, restaurang</t>
  </si>
  <si>
    <t>HANDLÄGGARE:</t>
  </si>
  <si>
    <t>Namn</t>
  </si>
  <si>
    <t xml:space="preserve">Sporthall </t>
  </si>
  <si>
    <t>Vård</t>
  </si>
  <si>
    <t>1.1</t>
  </si>
  <si>
    <t>Tid kalkylen omfattar</t>
  </si>
  <si>
    <t>år</t>
  </si>
  <si>
    <t>1.2</t>
  </si>
  <si>
    <t>Kalkylränta</t>
  </si>
  <si>
    <t>Indata till fält 16: Byggnadens driftitid h/ år</t>
  </si>
  <si>
    <t>1.3</t>
  </si>
  <si>
    <t>Elpris</t>
  </si>
  <si>
    <t>kr/kWh</t>
  </si>
  <si>
    <t>1.4</t>
  </si>
  <si>
    <t>Årlig prisförändring energi (frivillig)</t>
  </si>
  <si>
    <t>Eget värde för drifttid h/år</t>
  </si>
  <si>
    <t>1.5</t>
  </si>
  <si>
    <t>Klimatpåverkan energianvändning (frivillig)</t>
  </si>
  <si>
    <t>kgCO2/kwh</t>
  </si>
  <si>
    <t>Driftitd timmar per år</t>
  </si>
  <si>
    <t>1.6</t>
  </si>
  <si>
    <t>Drifttid</t>
  </si>
  <si>
    <t>h/år</t>
  </si>
  <si>
    <t>Beskrivning av anläggningen och belysningsförslag</t>
  </si>
  <si>
    <t>BESKRIVNING AV ANLÄGGNINGEN (anges av beställaren)</t>
  </si>
  <si>
    <t>Byggnadstyp 1</t>
  </si>
  <si>
    <t>Byggnadstyp 2</t>
  </si>
  <si>
    <t>Byggnadstyp 3</t>
  </si>
  <si>
    <t>Byggnadstyp 4</t>
  </si>
  <si>
    <t>Byggnadstyp 5</t>
  </si>
  <si>
    <t>Byggnadstyp 6</t>
  </si>
  <si>
    <t>Byggnadstyp 7</t>
  </si>
  <si>
    <t>Byggnadstyp 8</t>
  </si>
  <si>
    <t>Byggnadstyp 9</t>
  </si>
  <si>
    <t>Byggnadstyp 10</t>
  </si>
  <si>
    <t>Byggnadstyp hjälprad</t>
  </si>
  <si>
    <t>Rumstyp (välj byggnadstyp ovan för att få lista med giltiga rumstyper)</t>
  </si>
  <si>
    <t>Rumstyp 1</t>
  </si>
  <si>
    <t>Rumstyp 2</t>
  </si>
  <si>
    <t>Rumstyp 3</t>
  </si>
  <si>
    <t>Rumstyp 4</t>
  </si>
  <si>
    <t>Rumstyp 5</t>
  </si>
  <si>
    <t>Rumstyp 6</t>
  </si>
  <si>
    <t>Rumstyp 7</t>
  </si>
  <si>
    <t>Rumstyp 8</t>
  </si>
  <si>
    <t>Rumstyp 9</t>
  </si>
  <si>
    <t>Rumstyp 10</t>
  </si>
  <si>
    <t>Antal rum av samma typ</t>
  </si>
  <si>
    <t>stk</t>
  </si>
  <si>
    <t>Antal kvadratmeter</t>
  </si>
  <si>
    <r>
      <t>m</t>
    </r>
    <r>
      <rPr>
        <vertAlign val="superscript"/>
        <sz val="9"/>
        <rFont val="Corbel"/>
        <family val="2"/>
      </rPr>
      <t>2</t>
    </r>
    <r>
      <rPr>
        <sz val="9"/>
        <rFont val="Corbel"/>
        <family val="2"/>
      </rPr>
      <t>/rum</t>
    </r>
  </si>
  <si>
    <t>BELYSNINGSFÖRSLAG (anges av anbudsgivaren)</t>
  </si>
  <si>
    <t>ARMATURTYP 1</t>
  </si>
  <si>
    <t>2.1</t>
  </si>
  <si>
    <t>Antal armaturer</t>
  </si>
  <si>
    <t>2.2</t>
  </si>
  <si>
    <t>Armaturpris</t>
  </si>
  <si>
    <t>kr/stk</t>
  </si>
  <si>
    <t>2.3</t>
  </si>
  <si>
    <t>Material- och arbetskostnader armatur</t>
  </si>
  <si>
    <t>2.4</t>
  </si>
  <si>
    <t>Effekt per armatur, inkl. driftsförluster</t>
  </si>
  <si>
    <t>W/stk</t>
  </si>
  <si>
    <t>2.5</t>
  </si>
  <si>
    <t>Typ av styrning</t>
  </si>
  <si>
    <t>Ingen</t>
  </si>
  <si>
    <t>2.6</t>
  </si>
  <si>
    <t>Reduktionsfaktor manuell styrning</t>
  </si>
  <si>
    <t>2.7</t>
  </si>
  <si>
    <t>Reduktionsfaktor närvaro-/frånvarostyrning</t>
  </si>
  <si>
    <t>2.8</t>
  </si>
  <si>
    <t>Reduktionsfaktor dagsljusstyrning</t>
  </si>
  <si>
    <t>2.9</t>
  </si>
  <si>
    <t>Total reduktionsfaktor för styrning</t>
  </si>
  <si>
    <t>2.10</t>
  </si>
  <si>
    <t>Underhållskostnader</t>
  </si>
  <si>
    <t>kr/år</t>
  </si>
  <si>
    <t>ARMATURTYP 2</t>
  </si>
  <si>
    <t>ARMATURTYP 3</t>
  </si>
  <si>
    <t>ARMATURTYP 4</t>
  </si>
  <si>
    <t>ARMATURTYP 5</t>
  </si>
  <si>
    <t>ARMATURTYP 6</t>
  </si>
  <si>
    <t>ARMATURTYP 7</t>
  </si>
  <si>
    <t>ARMATURTYP 8</t>
  </si>
  <si>
    <t>ARMATURTYP 9</t>
  </si>
  <si>
    <t>ARMATURTYP 10</t>
  </si>
  <si>
    <t>STYRUTRUSTNING (anges för rumstyp)</t>
  </si>
  <si>
    <t>3.1</t>
  </si>
  <si>
    <t>Kostnad extern styrutrustning</t>
  </si>
  <si>
    <t>Resultat</t>
  </si>
  <si>
    <t>Rangordning av alternativ</t>
  </si>
  <si>
    <t>4.1</t>
  </si>
  <si>
    <t>Totalkostnad per rumstyp</t>
  </si>
  <si>
    <t>kr</t>
  </si>
  <si>
    <t>4.2</t>
  </si>
  <si>
    <t>LENI-tal per rumstyp</t>
  </si>
  <si>
    <r>
      <t>kWh/m</t>
    </r>
    <r>
      <rPr>
        <vertAlign val="superscript"/>
        <sz val="9"/>
        <rFont val="Corbel"/>
        <family val="2"/>
      </rPr>
      <t>2</t>
    </r>
    <r>
      <rPr>
        <sz val="9"/>
        <rFont val="Corbel"/>
        <family val="2"/>
      </rPr>
      <t>/år</t>
    </r>
  </si>
  <si>
    <t>RESULTAT FÖR HELA ANLÄGGNINGEN</t>
  </si>
  <si>
    <t>4.3</t>
  </si>
  <si>
    <t>TOTAL KOSTNAD</t>
  </si>
  <si>
    <t>4.4</t>
  </si>
  <si>
    <t>Energikostnad per år</t>
  </si>
  <si>
    <t>4.5</t>
  </si>
  <si>
    <t>Energikostnader under hela livslängden</t>
  </si>
  <si>
    <t>4.6</t>
  </si>
  <si>
    <t>Klimatpåverkan</t>
  </si>
  <si>
    <t>kgCO2e/år</t>
  </si>
  <si>
    <t>LCC-kalkyl</t>
  </si>
  <si>
    <t>INVESTERINGSKOSTNADER</t>
  </si>
  <si>
    <t>Investeringskostnader</t>
  </si>
  <si>
    <t>Armatur 1</t>
  </si>
  <si>
    <t>Armatur 2</t>
  </si>
  <si>
    <t>Armatur 3</t>
  </si>
  <si>
    <t>Armatur 4</t>
  </si>
  <si>
    <t>Armatur 5</t>
  </si>
  <si>
    <t>Armatur 6</t>
  </si>
  <si>
    <t>Armatur 7</t>
  </si>
  <si>
    <t>Armatur 8</t>
  </si>
  <si>
    <t>Armatur 9</t>
  </si>
  <si>
    <t>Armatur 10</t>
  </si>
  <si>
    <t>Summa investeringskostnader per rumstyp</t>
  </si>
  <si>
    <t>S:A INVESTERINGSKOSTNADER HELA ANLÄGGNINGEN</t>
  </si>
  <si>
    <t>ENERGI- &amp; UNDERHÅLLSKOSTNADER</t>
  </si>
  <si>
    <t>ENERGIKOSTNADER</t>
  </si>
  <si>
    <t>Energianvändning</t>
  </si>
  <si>
    <t>kWh</t>
  </si>
  <si>
    <t>Summa energianvändning per rumstyp</t>
  </si>
  <si>
    <t>kWh/år</t>
  </si>
  <si>
    <t>Summa energianvändning hela anläggningen</t>
  </si>
  <si>
    <t>Årlig energikostnad per rumstyp</t>
  </si>
  <si>
    <t>Årlig energikostnad hela anläggningen</t>
  </si>
  <si>
    <t>Omräkningsfaktor till nuvärde</t>
  </si>
  <si>
    <t>UNDERHÅLLSKOSTNADER</t>
  </si>
  <si>
    <t>Underhållskostnad armaturtyp 1</t>
  </si>
  <si>
    <t>Underhållskostnad armaturtyp 2</t>
  </si>
  <si>
    <t>Underhållskostnad armaturtyp 3</t>
  </si>
  <si>
    <t>Underhållskostnad armaturtyp 4</t>
  </si>
  <si>
    <t>Underhållskostnad armaturtyp 5</t>
  </si>
  <si>
    <t>Underhållskostnad armaturtyp 6</t>
  </si>
  <si>
    <t>Underhållskostnad armaturtyp 7</t>
  </si>
  <si>
    <t>Underhållskostnad armaturtyp 8</t>
  </si>
  <si>
    <t>Underhållskostnad armaturtyp 9</t>
  </si>
  <si>
    <t>Underhållskostnad armaturtyp 10</t>
  </si>
  <si>
    <t>Summa underhållskostnader per rumstyp</t>
  </si>
  <si>
    <t>Underhållskostnader hela anläggningen</t>
  </si>
  <si>
    <t>Underhållskostnader under hela livslängden</t>
  </si>
  <si>
    <t>Klimatpåverkan för varje rumstyp</t>
  </si>
  <si>
    <r>
      <t>kWh/m</t>
    </r>
    <r>
      <rPr>
        <vertAlign val="superscript"/>
        <sz val="9"/>
        <color theme="1"/>
        <rFont val="Arial"/>
        <family val="2"/>
      </rPr>
      <t>2</t>
    </r>
    <r>
      <rPr>
        <sz val="9"/>
        <color theme="1"/>
        <rFont val="Arial"/>
        <family val="2"/>
      </rPr>
      <t>, år</t>
    </r>
  </si>
  <si>
    <t>LENI-tal armaturtyp 1</t>
  </si>
  <si>
    <t>LENI-tal armaturtyp 2</t>
  </si>
  <si>
    <t>LENI-tal armaturtyp 3</t>
  </si>
  <si>
    <t>LENI-tal armaturtyp 4</t>
  </si>
  <si>
    <t>LENI-tal armaturtyp 5</t>
  </si>
  <si>
    <t>LENI-tal armaturtyp 6</t>
  </si>
  <si>
    <t>LENI-tal armaturtyp 7</t>
  </si>
  <si>
    <t>LENI-tal armaturtyp 8</t>
  </si>
  <si>
    <t>LENI-tal armaturtyp 9</t>
  </si>
  <si>
    <t>LENI-tal armaturtyp 10</t>
  </si>
  <si>
    <t xml:space="preserve">S:A ENERGI- &amp; UNDERHÅLLSKOSTNADER </t>
  </si>
  <si>
    <t>TOTAL KOSTNAD HELA ANLÄGGNINGEN</t>
  </si>
  <si>
    <t>Manuell</t>
  </si>
  <si>
    <t>Manuell + Närvaro/frånvaro</t>
  </si>
  <si>
    <t>Manuell + Närvaro/frånvaro + Dagsljus</t>
  </si>
  <si>
    <t>LCC-kalkyl Anläggning alternativ 2</t>
  </si>
  <si>
    <t>LCC-kalkyl Anläggning alternativ 3</t>
  </si>
  <si>
    <t>LCC-kalkyl Anläggning alternativ 4</t>
  </si>
  <si>
    <t>Kalkylparametrar</t>
  </si>
  <si>
    <t xml:space="preserve">Samlade instruktioner kring kalkylparametrarna. </t>
  </si>
  <si>
    <t>KALKYLFÖRUTSÄTTNINGAR (anges av beställaren)</t>
  </si>
  <si>
    <t xml:space="preserve">Not </t>
  </si>
  <si>
    <t>Parameter</t>
  </si>
  <si>
    <t>Instruktion</t>
  </si>
  <si>
    <t>Kalkylen bör utgå från den armatur med bäst teknisk livslängd. 20 år kan ses som ett referensvärde men det kan också vara längre.</t>
  </si>
  <si>
    <t xml:space="preserve">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t>
  </si>
  <si>
    <t xml:space="preserve">Organisationens avtalade elpris (kr/kWh) anges. Elpriset är uppbyggt av flera komponenter. Säkerställ att prisuppgiften innehåller samma komponenter i alla jämförelser.  </t>
  </si>
  <si>
    <t>Årlig energiprisförändring</t>
  </si>
  <si>
    <t>Faktor för beräkning av energiprisförändring utöver (rensad från) inflation. Inflationen ska räknas bort pga real kalkylränta.</t>
  </si>
  <si>
    <t>Klimatpåverkan elanvändning</t>
  </si>
  <si>
    <t xml:space="preserve">För att kunna beräkna klimatpåverkan från elanvändningen anges här elleverantörens uppgifter om klimatpåverkan från sin elmix (koldioxidutsläpp per kilowattimme). Du kan också använda riktvärden från flik 5. </t>
  </si>
  <si>
    <t xml:space="preserve">Här ska drifttid (timmar per år) för belysningen anges. Tiden ska i första hand vara baserad på befintlig driftdata. I andra hand kan man utgå från driftdata (schablonvärden) enligt standard SS-EN 15193: kontor 2500h/år, skolor 2000h/år, sporthallar 4000h/år, kök 2500h/år, sjukhus 5000h/år. Dessa värden finns även nämnda i Ljus &amp; Rum, utgåva 4 (2022), kapitel 6 Energiberäkning. </t>
  </si>
  <si>
    <t>Beskrivning av anläggningen (anges av beställaren)</t>
  </si>
  <si>
    <t>Rumstyper</t>
  </si>
  <si>
    <t>Beskrivning av anläggningen med rumstyper och storlek på dessa måste göras i förfrågningsunderlaget. Ange rumstyp i första hand enligt benämningar i belysningsbranschens planeringsguide Ljus &amp; Rum, utgåva 4 (2022)  kap 6, eller som det benämns i förfrågningsunderlaget. Om flera typer och storlekar finns på t.ex. kontorsrum, benämns dessa cellkontor 1, cellkontor 2 osv.</t>
  </si>
  <si>
    <t>Fyll i antal rum per rumstyp, dvs rum med samma funktion och storlek.</t>
  </si>
  <si>
    <t>Rummets yta matas in för att kunna beräkna rumstypens LENI-tal. Utifrån detta kan sedan byggnadens LENI-tal enkelt beräknas om detta efterfrågas i upphandlingen.</t>
  </si>
  <si>
    <t>INDATA från anbudsgivaren</t>
  </si>
  <si>
    <t xml:space="preserve">Antal armaturer </t>
  </si>
  <si>
    <t>Här ifylles antal armaturer som ingår i den föreslagna lösningen per rumstyp. Om fler typer av armaturer förekommer så ifylles dessa som armaturtyp 1, armaturtyp 2 osv. Fler rader kan läggas till vid behov genom att använda knapparna.</t>
  </si>
  <si>
    <t xml:space="preserve">Här ska totala priset för armatur, ljuskälla, driftdon samt inbyggd styrutrustning anges (pris per styck). Om en armatur har fler än en ljuskälla ska dessa läggas ihop.  
</t>
  </si>
  <si>
    <t>Här ingår material- och arbetskostnader för installationen, exklusive extern styrutrustning. Även kostnader för driftsättning ingår här (injustering och provning). Material kan exempelvis vara kablar. Arbetskostnader kan vara personal och maskinhyra. Om entreprenaden ingår i anbudet ska kostnaden för detta anges. Om entreprenad inte ingår får kostnaderna bli en uppskattning. Beräkning ska kunna uppvisas för den upphandlande organisationen.</t>
  </si>
  <si>
    <t>Effekt per armatur inkl driftsförluster</t>
  </si>
  <si>
    <t>Effekt per armatur (W), driftsförluster inkluderade, fylls i här.</t>
  </si>
  <si>
    <t>Välj typ av styrning (ingen, manuell, närvaro/frånvarostyrning, dagsljusstyrning) och olika kombinationer av dessa.</t>
  </si>
  <si>
    <t>2.6- 2.8</t>
  </si>
  <si>
    <t>Reduktionsfaktor manuell styrning, närvaro-/frånvarostyrning, dagsljusstyrning</t>
  </si>
  <si>
    <t>En energireduktionsfaktor (reducering av drifttiden) läggs in om manuell/närvaro-frånvaro/ dagsljusstyrning har valts i rad 2.5. Välj aktuell reduktionsfaktorfaktor per rumstyp i flik 4. Tabellerna är hämtade från "Ljus och Rum" del 10. Om ingen styrning finns sätts samtliga rutor till 1,00. Om data inte finns för den aktuella rumstypen kan hänsyn till driftreducering inte tas i denna kalkyl och detta värde sätts till 1,00.</t>
  </si>
  <si>
    <t xml:space="preserve">Här visas den totala reduktionsfaktorn, d.v.s multiplicering av värdena från rad 2.6-2.8, som kommer användas vidare i beräkningarna.
</t>
  </si>
  <si>
    <t xml:space="preserve">Kostnader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byten av ljuskällor ska beräknas baserat på årlig drifttid och ljuskällans livslängd enligt gällande standarder. Livslängd för LED beräknas enligt IEC 62722-2-1 "Särskilda krav för LED armaturer". Driftdon beräknas ha samma livslängd som ljuskällan. </t>
  </si>
  <si>
    <t>Styrutrustning</t>
  </si>
  <si>
    <t>Styrutrustning ingår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t>
  </si>
  <si>
    <t>RESULTAT</t>
  </si>
  <si>
    <t>Total kostnad per rumstyp</t>
  </si>
  <si>
    <t>Total kostnad för respektive rumstyp under hela dess nyttjandetid summeras här.</t>
  </si>
  <si>
    <t>Rumstypernas energianvändning per kvadratmeter och år redovisas här, det så kallade LENI-talet (Lighting Energy Numeric Indicator). Rekommenderade värden finns framtagna för kontor, skolor, vårdlokaler och sporthallar, se flik 4. Utifrån detta kan sedan hela anläggningens LENI-tal enkelt beräknas, om detta efterfrågas i upphandlingen.Se Upphandlingsmyndighetens kriterium för belysningsprojektering - "Energikrav för belysningsanläggningar - kontor, skola, vård".</t>
  </si>
  <si>
    <t xml:space="preserve">Total kostnad per anläggning </t>
  </si>
  <si>
    <t>Här summeras kostnaderna för alla typrum som ingår i belysningsanläggningen.</t>
  </si>
  <si>
    <t>Årlig energikostnad visas här för att öka medvetenheten kring anläggningens energianvändning.</t>
  </si>
  <si>
    <t>Energikostnad hela livslängden</t>
  </si>
  <si>
    <t>Anläggningens totala energikostnader under dess livslängd anges här. I vissa fall kan renovering under nyttjandetiden bidra till förbättrad energiprestanda.</t>
  </si>
  <si>
    <t>Årlig klimatpåverkan, mätt i CO2-ekvivalenter, beräknas utifrån anläggningens energianvändning.</t>
  </si>
  <si>
    <t>Reduktionsfaktorer</t>
  </si>
  <si>
    <t xml:space="preserve">Riktlinjer installerad effekt, reduktionsfaktorer för belysningsstyrning samt riktlinjer för årlig energianvändning per rumstyp
</t>
  </si>
  <si>
    <t>I tabellen anges:
1. Riktlinjer för installerad effekt per rumstyp.
2. Energireduktionsfaktorer för belysningsstyrning (reducering av drifttid)
3. Jämförelsetal energianvändning - LENI-tal per rumstyp och styrning. 
Informationen är hämtad från Belysningsbranschens handbok Ljus &amp; Rum, utgåva 4 (2022), kap 6. Riktlinjerna för installerad effekt gäller under normala förutsättningar och bör inte överstiga värdena i tabellen.</t>
  </si>
  <si>
    <t>Rumstyp</t>
  </si>
  <si>
    <r>
      <t>Riktlinjer max installerad effekt (W/m</t>
    </r>
    <r>
      <rPr>
        <b/>
        <vertAlign val="superscript"/>
        <sz val="11"/>
        <rFont val="Corbel"/>
        <family val="2"/>
      </rPr>
      <t>2</t>
    </r>
    <r>
      <rPr>
        <b/>
        <sz val="11"/>
        <rFont val="Corbel"/>
        <family val="2"/>
      </rPr>
      <t>)</t>
    </r>
  </si>
  <si>
    <t>Reduktionsfaktor Manuell styrning</t>
  </si>
  <si>
    <t>Reduktionsfaktor Frånvaro-/ närvarostyrning</t>
  </si>
  <si>
    <t>Reduktionsfaktor Dagsljusstyrning</t>
  </si>
  <si>
    <r>
      <t>Jämförelsetal energianvändning  
- LENI-tal (kWh/m</t>
    </r>
    <r>
      <rPr>
        <b/>
        <vertAlign val="superscript"/>
        <sz val="11"/>
        <rFont val="Corbel"/>
        <family val="2"/>
      </rPr>
      <t>2</t>
    </r>
    <r>
      <rPr>
        <b/>
        <sz val="11"/>
        <rFont val="Corbel"/>
        <family val="2"/>
      </rPr>
      <t>, år)</t>
    </r>
  </si>
  <si>
    <t>OBS! Nedanstående struktur behövs för att automatisk hämta reduktionsfaktorer till beräkningsblad, beroende på vald byggnads- och rumstyp. Om nya byggnads- och rumstyper läggs in i tabellen till vänster så behöver hänvisningar i  nedastående sammanställning uppdateras. Markera sedan samtliga nedanstående data och gå till Formler&gt;Definierade namn&gt;Skapa från markering, bocka ur alla förutom "översta raden" och tryck ok.
Vid tillägg av nya byggnadstyper behöver även rullistor i respektive beräkningsblad uppdateras.</t>
  </si>
  <si>
    <t xml:space="preserve">Manuell </t>
  </si>
  <si>
    <t>Frånvaro-/närvaro</t>
  </si>
  <si>
    <t>Dagsljusstyrning</t>
  </si>
  <si>
    <t>KONTOR</t>
  </si>
  <si>
    <t>Cellkontor &gt;8 kvm</t>
  </si>
  <si>
    <t>Drifttid 2500h/år</t>
  </si>
  <si>
    <t>Cellkontor 8-12 kvm</t>
  </si>
  <si>
    <t>Storkontor &gt;12 kvm</t>
  </si>
  <si>
    <t>Korridor</t>
  </si>
  <si>
    <t>Pausrum större</t>
  </si>
  <si>
    <t>Pausrum mindre</t>
  </si>
  <si>
    <t>Konferensrum</t>
  </si>
  <si>
    <t>Förråd</t>
  </si>
  <si>
    <t>WC</t>
  </si>
  <si>
    <t>Trapphus (kontor)</t>
  </si>
  <si>
    <t>Garage (icke-publika kontor)</t>
  </si>
  <si>
    <t>SKOLA OCH RESTAURANG</t>
  </si>
  <si>
    <t>Klassrum</t>
  </si>
  <si>
    <t>Drifttid 2000h/år</t>
  </si>
  <si>
    <t>Grupprum</t>
  </si>
  <si>
    <t>Aula</t>
  </si>
  <si>
    <t>Uppehållsrum</t>
  </si>
  <si>
    <t>Matsal</t>
  </si>
  <si>
    <t>Kök</t>
  </si>
  <si>
    <t>Kök/förråd</t>
  </si>
  <si>
    <t>Personalrum &lt;30 kvm</t>
  </si>
  <si>
    <t>SPORTHALL</t>
  </si>
  <si>
    <t>Sporthall</t>
  </si>
  <si>
    <t>Drifttid 4000h/år</t>
  </si>
  <si>
    <t>Omklädning</t>
  </si>
  <si>
    <t>Kommunikationsytor &lt; 3m höjd</t>
  </si>
  <si>
    <t>Kommunikationsytor &lt; 6m höjd</t>
  </si>
  <si>
    <t>SJUKHUS</t>
  </si>
  <si>
    <t>Vård/patientrum, multifunktion</t>
  </si>
  <si>
    <t>Drifttid 5000h/år</t>
  </si>
  <si>
    <t>Vård/patientrum</t>
  </si>
  <si>
    <t>Undersökning 500 lux</t>
  </si>
  <si>
    <t>Operation</t>
  </si>
  <si>
    <t>Korridor, normal samt städning</t>
  </si>
  <si>
    <t>Korridor, OP-avdelning</t>
  </si>
  <si>
    <t>Väntrum</t>
  </si>
  <si>
    <t>Kulvert</t>
  </si>
  <si>
    <t>Källa: Ljus &amp; Rum, utgåva 4 (2022), kapitel 6 Energiberäkning (https://ljuskultur.se/teknik-bransch/ladda-ner-material/ljus-rum-pdf/)</t>
  </si>
  <si>
    <t>Värden för beräkning av klimatpåverkan från elanvändning  [kgCO2/kWh]</t>
  </si>
  <si>
    <t>Källa</t>
  </si>
  <si>
    <t>Riktvärden för att kunna beräkna klimatpåverkan från energi . Används som frivillig indata i rad 1.6 i LCC-kalkylen.</t>
  </si>
  <si>
    <t>Nordisk elmix</t>
  </si>
  <si>
    <t>SMED Rapport Nr 4 2021</t>
  </si>
  <si>
    <t>Svensk elmix (normalår)</t>
  </si>
  <si>
    <t>Boverkets klimatdatabas</t>
  </si>
  <si>
    <t>Ursprungsmärkt el</t>
  </si>
  <si>
    <t>El av okänt ursprung (Norden)</t>
  </si>
  <si>
    <t>Residualmix - Energimarknadsinspektionen (ei.se)</t>
  </si>
  <si>
    <t xml:space="preserve">För beräkning av klimatpåverkan från energianvändning under kalkylperioden rekommenderas att värden för Nordisk elmix används då den bäst representerar de utsläpp som uppstår av energianvändningen. </t>
  </si>
  <si>
    <t>EU (25)</t>
  </si>
  <si>
    <t xml:space="preserve">EU-27 Indicative 2020 </t>
  </si>
  <si>
    <t xml:space="preserve">Värt att notera är att klimatpåverkan från energiproduktionen förväntas minska i framtiden, om vi ska nå våra klimatmål. I rekommendationer för LCA-beräkningar (IVL 2024) där användningsskedet ingår görs antagandet att klimatpåverkan för energiproduktion kommer minska med 40 % från aktuellt år till år 2050. Läs mer om detta via länk nedan. Det är inte nödvändigt att ta hänsyn till detta i en LCC-kalkyl, om syftet endast är att jämföra alternativ (framtiden är likadan för alla alternativ). Det rekommenderas dock inte att använda värdet på klimatpåverkan från denna LCC-kalkyl oreflekterat i andra sammanhang. </t>
  </si>
  <si>
    <t>Anvisningar för LCA-beräkning av byggprojekt, IVL (Version 2024-06)</t>
  </si>
  <si>
    <t>Resultat LCC-kalkyl för upphandling av inomhusbelysning</t>
  </si>
  <si>
    <t>Sida 1 av 1</t>
  </si>
  <si>
    <t>Projekt:</t>
  </si>
  <si>
    <t>Datum:</t>
  </si>
  <si>
    <t>Handläggare:</t>
  </si>
  <si>
    <t>Beräkning baserad på</t>
  </si>
  <si>
    <t>Resultaten är beräknade enligt nuvärdesmetoden.</t>
  </si>
  <si>
    <t>LCC-kostnader</t>
  </si>
  <si>
    <t>Anläggning 1</t>
  </si>
  <si>
    <t>Anläggning 2</t>
  </si>
  <si>
    <t>Anläggning 3</t>
  </si>
  <si>
    <t>Anläggning 4</t>
  </si>
  <si>
    <t>Energikostnader</t>
  </si>
  <si>
    <t>Totala LCC-kostnader</t>
  </si>
  <si>
    <t xml:space="preserve">Energianvändning &amp; klimatpåverkan </t>
  </si>
  <si>
    <t xml:space="preserve">Energianvändning </t>
  </si>
  <si>
    <t>[kWh/år]</t>
  </si>
  <si>
    <r>
      <t>[kgC0</t>
    </r>
    <r>
      <rPr>
        <vertAlign val="subscript"/>
        <sz val="9"/>
        <rFont val="Corbel"/>
        <family val="2"/>
      </rPr>
      <t>2</t>
    </r>
    <r>
      <rPr>
        <sz val="9"/>
        <rFont val="Corbel"/>
        <family val="2"/>
      </rPr>
      <t>-e/år]</t>
    </r>
  </si>
  <si>
    <t>Svarsformulär för anbudsgivare</t>
  </si>
  <si>
    <t>Sida 1 av 2</t>
  </si>
  <si>
    <t>Sida 2 av 2</t>
  </si>
  <si>
    <t>LCC-kalkyl för upphandling av inomhusbelysning.</t>
  </si>
  <si>
    <t xml:space="preserve">Bifoga/ skriv ut ett blad per rumstyp. </t>
  </si>
  <si>
    <t>namn</t>
  </si>
  <si>
    <t>forts. rumstyp 1</t>
  </si>
  <si>
    <t>kvm/rum</t>
  </si>
  <si>
    <t>Armaturtyp 1</t>
  </si>
  <si>
    <t>Armaturtyp 6</t>
  </si>
  <si>
    <t xml:space="preserve">Reduktionsfaktor manuell styrning </t>
  </si>
  <si>
    <t xml:space="preserve">Reduktionsfaktor närvaro-/frånvarostyrning </t>
  </si>
  <si>
    <t>Armaturtyp 2</t>
  </si>
  <si>
    <t>Armaturtyp 7</t>
  </si>
  <si>
    <t>Armaturtyp 3</t>
  </si>
  <si>
    <t>Armaturtyp 8</t>
  </si>
  <si>
    <t>Armaturtyp 4</t>
  </si>
  <si>
    <t>Armaturtyp 9</t>
  </si>
  <si>
    <t>Armaturtyp 5</t>
  </si>
  <si>
    <t>Armaturtyp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</si>
</sst>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0\ &quot;kr&quot;;\-#,##0\ &quot;kr&quot;"/>
    <numFmt numFmtId="164" formatCode="0.0"/>
    <numFmt numFmtId="165" formatCode="0.0%"/>
  </numFmts>
  <fonts count="98" x14ac:knownFonts="1">
    <font>
      <sz val="10"/>
      <name val="Arial"/>
    </font>
    <font>
      <sz val="11"/>
      <color theme="1"/>
      <name val="Calibri"/>
      <family val="2"/>
      <scheme val="minor"/>
    </font>
    <font>
      <sz val="11"/>
      <color theme="1"/>
      <name val="Calibri"/>
      <family val="2"/>
      <scheme val="minor"/>
    </font>
    <font>
      <sz val="10"/>
      <name val="Garamond"/>
      <family val="1"/>
    </font>
    <font>
      <sz val="12"/>
      <name val="Garamond"/>
      <family val="1"/>
    </font>
    <font>
      <sz val="14"/>
      <name val="Garamond"/>
      <family val="1"/>
    </font>
    <font>
      <b/>
      <sz val="16"/>
      <name val="Garamond"/>
      <family val="1"/>
    </font>
    <font>
      <u/>
      <sz val="10"/>
      <color indexed="12"/>
      <name val="Arial"/>
      <family val="2"/>
    </font>
    <font>
      <sz val="10"/>
      <name val="Arial"/>
      <family val="2"/>
    </font>
    <font>
      <sz val="14"/>
      <name val="Arial"/>
      <family val="2"/>
    </font>
    <font>
      <b/>
      <sz val="10"/>
      <name val="Arial"/>
      <family val="2"/>
    </font>
    <font>
      <sz val="11"/>
      <color indexed="8"/>
      <name val="Calibri"/>
      <family val="2"/>
    </font>
    <font>
      <sz val="11"/>
      <color indexed="9"/>
      <name val="Calibri"/>
      <family val="2"/>
    </font>
    <font>
      <b/>
      <sz val="11"/>
      <color indexed="52"/>
      <name val="Calibri"/>
      <family val="2"/>
    </font>
    <font>
      <sz val="11"/>
      <color indexed="17"/>
      <name val="Calibri"/>
      <family val="2"/>
    </font>
    <font>
      <sz val="9"/>
      <name val="Arial"/>
      <family val="2"/>
    </font>
    <font>
      <sz val="11"/>
      <color indexed="20"/>
      <name val="Calibri"/>
      <family val="2"/>
    </font>
    <font>
      <i/>
      <sz val="11"/>
      <color indexed="23"/>
      <name val="Calibri"/>
      <family val="2"/>
    </font>
    <font>
      <sz val="11"/>
      <color indexed="62"/>
      <name val="Calibri"/>
      <family val="2"/>
    </font>
    <font>
      <b/>
      <sz val="11"/>
      <color indexed="9"/>
      <name val="Calibri"/>
      <family val="2"/>
    </font>
    <font>
      <sz val="11"/>
      <color indexed="52"/>
      <name val="Calibri"/>
      <family val="2"/>
    </font>
    <font>
      <sz val="11"/>
      <color indexed="6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9"/>
      <color indexed="18"/>
      <name val="Arial"/>
      <family val="2"/>
    </font>
    <font>
      <b/>
      <sz val="11"/>
      <color indexed="8"/>
      <name val="Calibri"/>
      <family val="2"/>
    </font>
    <font>
      <b/>
      <sz val="9"/>
      <name val="Arial"/>
      <family val="2"/>
    </font>
    <font>
      <b/>
      <sz val="11"/>
      <color indexed="63"/>
      <name val="Calibri"/>
      <family val="2"/>
    </font>
    <font>
      <sz val="11"/>
      <color indexed="10"/>
      <name val="Calibri"/>
      <family val="2"/>
    </font>
    <font>
      <i/>
      <sz val="9"/>
      <name val="Arial"/>
      <family val="2"/>
    </font>
    <font>
      <b/>
      <i/>
      <sz val="9"/>
      <name val="Arial"/>
      <family val="2"/>
    </font>
    <font>
      <b/>
      <sz val="9"/>
      <color indexed="9"/>
      <name val="Arial"/>
      <family val="2"/>
    </font>
    <font>
      <b/>
      <sz val="11"/>
      <name val="Arial"/>
      <family val="2"/>
    </font>
    <font>
      <sz val="12"/>
      <name val="Calibri"/>
      <family val="2"/>
      <scheme val="minor"/>
    </font>
    <font>
      <b/>
      <sz val="26"/>
      <name val="Corbel"/>
      <family val="2"/>
    </font>
    <font>
      <b/>
      <sz val="16"/>
      <color theme="0"/>
      <name val="Corbel"/>
      <family val="2"/>
    </font>
    <font>
      <b/>
      <sz val="18"/>
      <name val="Corbel"/>
      <family val="2"/>
    </font>
    <font>
      <sz val="16"/>
      <color theme="0"/>
      <name val="Corbel"/>
      <family val="2"/>
    </font>
    <font>
      <b/>
      <sz val="14"/>
      <color theme="0"/>
      <name val="Corbel"/>
      <family val="2"/>
    </font>
    <font>
      <sz val="10"/>
      <name val="Arial"/>
      <family val="2"/>
    </font>
    <font>
      <sz val="12"/>
      <name val="Arial"/>
      <family val="2"/>
    </font>
    <font>
      <sz val="11"/>
      <name val="Arial"/>
      <family val="2"/>
    </font>
    <font>
      <b/>
      <sz val="9"/>
      <color theme="0"/>
      <name val="Arial"/>
      <family val="2"/>
    </font>
    <font>
      <b/>
      <i/>
      <sz val="9"/>
      <color theme="1"/>
      <name val="Arial"/>
      <family val="2"/>
    </font>
    <font>
      <sz val="9"/>
      <color theme="1"/>
      <name val="Arial"/>
      <family val="2"/>
    </font>
    <font>
      <b/>
      <sz val="12"/>
      <color indexed="9"/>
      <name val="Arial"/>
      <family val="2"/>
    </font>
    <font>
      <b/>
      <sz val="16"/>
      <name val="Corbel"/>
      <family val="2"/>
    </font>
    <font>
      <b/>
      <sz val="18"/>
      <color theme="3"/>
      <name val="Cambria"/>
      <family val="2"/>
      <scheme val="major"/>
    </font>
    <font>
      <b/>
      <sz val="12"/>
      <name val="Corbel"/>
      <family val="2"/>
    </font>
    <font>
      <sz val="16"/>
      <name val="Corbel"/>
      <family val="2"/>
    </font>
    <font>
      <sz val="10"/>
      <name val="Corbel"/>
      <family val="2"/>
    </font>
    <font>
      <sz val="11"/>
      <name val="Corbel"/>
      <family val="2"/>
    </font>
    <font>
      <i/>
      <sz val="11"/>
      <name val="Corbel"/>
      <family val="2"/>
    </font>
    <font>
      <sz val="12"/>
      <name val="Corbel"/>
      <family val="2"/>
    </font>
    <font>
      <i/>
      <sz val="10"/>
      <name val="Corbel"/>
      <family val="2"/>
    </font>
    <font>
      <b/>
      <sz val="11"/>
      <name val="Corbel"/>
      <family val="2"/>
    </font>
    <font>
      <sz val="9"/>
      <name val="Corbel"/>
      <family val="2"/>
    </font>
    <font>
      <sz val="10"/>
      <color indexed="12"/>
      <name val="Corbel"/>
      <family val="2"/>
    </font>
    <font>
      <b/>
      <sz val="10"/>
      <name val="Corbel"/>
      <family val="2"/>
    </font>
    <font>
      <b/>
      <sz val="11"/>
      <color theme="1"/>
      <name val="Corbel"/>
      <family val="2"/>
    </font>
    <font>
      <sz val="11"/>
      <color theme="1"/>
      <name val="Corbel"/>
      <family val="2"/>
    </font>
    <font>
      <u/>
      <sz val="10"/>
      <color indexed="12"/>
      <name val="Corbel"/>
      <family val="2"/>
    </font>
    <font>
      <b/>
      <sz val="14"/>
      <color theme="1"/>
      <name val="Corbel"/>
      <family val="2"/>
    </font>
    <font>
      <sz val="14"/>
      <name val="Corbel"/>
      <family val="2"/>
    </font>
    <font>
      <u/>
      <sz val="10"/>
      <name val="Corbel"/>
      <family val="2"/>
    </font>
    <font>
      <b/>
      <sz val="9"/>
      <name val="Corbel"/>
      <family val="2"/>
    </font>
    <font>
      <sz val="10"/>
      <color theme="1"/>
      <name val="Corbel"/>
      <family val="2"/>
    </font>
    <font>
      <sz val="8"/>
      <color indexed="81"/>
      <name val="Corbel"/>
      <family val="2"/>
    </font>
    <font>
      <sz val="9"/>
      <color indexed="81"/>
      <name val="Corbel"/>
      <family val="2"/>
    </font>
    <font>
      <sz val="16"/>
      <name val="Garamond"/>
      <family val="1"/>
    </font>
    <font>
      <vertAlign val="subscript"/>
      <sz val="9"/>
      <name val="Corbel"/>
      <family val="2"/>
    </font>
    <font>
      <b/>
      <sz val="10"/>
      <name val="Garamond"/>
      <family val="1"/>
    </font>
    <font>
      <b/>
      <sz val="9"/>
      <color theme="1"/>
      <name val="Arial"/>
      <family val="2"/>
    </font>
    <font>
      <b/>
      <i/>
      <sz val="9"/>
      <name val="Corbel"/>
      <family val="2"/>
    </font>
    <font>
      <b/>
      <i/>
      <sz val="10"/>
      <name val="Garamond"/>
      <family val="1"/>
    </font>
    <font>
      <sz val="8"/>
      <name val="Arial"/>
      <family val="2"/>
    </font>
    <font>
      <sz val="8"/>
      <color indexed="81"/>
      <name val="Tahoma"/>
      <family val="2"/>
    </font>
    <font>
      <vertAlign val="superscript"/>
      <sz val="9"/>
      <name val="Corbel"/>
      <family val="2"/>
    </font>
    <font>
      <b/>
      <sz val="14"/>
      <name val="Corbel"/>
      <family val="2"/>
    </font>
    <font>
      <vertAlign val="superscript"/>
      <sz val="9"/>
      <color theme="1"/>
      <name val="Arial"/>
      <family val="2"/>
    </font>
    <font>
      <sz val="9"/>
      <color theme="0"/>
      <name val="Arial"/>
      <family val="2"/>
    </font>
    <font>
      <sz val="9"/>
      <color indexed="9"/>
      <name val="Arial"/>
      <family val="2"/>
    </font>
    <font>
      <i/>
      <sz val="9"/>
      <color theme="1"/>
      <name val="Arial"/>
      <family val="2"/>
    </font>
    <font>
      <sz val="9"/>
      <color indexed="81"/>
      <name val="Tahoma"/>
      <family val="2"/>
    </font>
    <font>
      <sz val="10"/>
      <color theme="0" tint="-0.249977111117893"/>
      <name val="Corbel"/>
      <family val="2"/>
    </font>
    <font>
      <sz val="10"/>
      <color theme="0" tint="-0.249977111117893"/>
      <name val="Arial"/>
      <family val="2"/>
    </font>
    <font>
      <sz val="10"/>
      <color rgb="FFFF0000"/>
      <name val="Corbel"/>
      <family val="2"/>
    </font>
    <font>
      <b/>
      <vertAlign val="superscript"/>
      <sz val="11"/>
      <name val="Corbel"/>
      <family val="2"/>
    </font>
    <font>
      <i/>
      <sz val="9"/>
      <name val="Corbel"/>
      <family val="2"/>
    </font>
    <font>
      <i/>
      <u/>
      <sz val="9"/>
      <name val="Corbel"/>
      <family val="2"/>
    </font>
    <font>
      <sz val="8"/>
      <color rgb="FFFF0000"/>
      <name val="Corbel"/>
      <family val="2"/>
    </font>
    <font>
      <sz val="10"/>
      <color theme="1"/>
      <name val="Arial"/>
      <family val="2"/>
    </font>
    <font>
      <b/>
      <sz val="10"/>
      <color theme="1"/>
      <name val="Arial"/>
      <family val="2"/>
    </font>
    <font>
      <b/>
      <sz val="9"/>
      <color theme="1"/>
      <name val="Corbel"/>
      <family val="2"/>
    </font>
    <font>
      <sz val="9"/>
      <color theme="0" tint="-4.9989318521683403E-2"/>
      <name val="Arial"/>
      <family val="2"/>
    </font>
    <font>
      <sz val="10"/>
      <color theme="0" tint="-4.9989318521683403E-2"/>
      <name val="Arial"/>
      <family val="2"/>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patternFill>
    </fill>
    <fill>
      <patternFill patternType="solid">
        <fgColor indexed="22"/>
      </patternFill>
    </fill>
    <fill>
      <patternFill patternType="solid">
        <fgColor indexed="54"/>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8"/>
        <bgColor indexed="64"/>
      </patternFill>
    </fill>
    <fill>
      <patternFill patternType="solid">
        <fgColor rgb="FF6B2879"/>
        <bgColor indexed="64"/>
      </patternFill>
    </fill>
    <fill>
      <patternFill patternType="solid">
        <fgColor theme="0"/>
        <bgColor indexed="64"/>
      </patternFill>
    </fill>
    <fill>
      <patternFill patternType="solid">
        <fgColor rgb="FF008A2B"/>
        <bgColor indexed="64"/>
      </patternFill>
    </fill>
    <fill>
      <patternFill patternType="solid">
        <fgColor rgb="FF89B24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rgb="FF009999"/>
        <bgColor indexed="64"/>
      </patternFill>
    </fill>
  </fills>
  <borders count="43">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0"/>
      </left>
      <right style="thin">
        <color indexed="60"/>
      </right>
      <top style="thin">
        <color indexed="60"/>
      </top>
      <bottom style="thin">
        <color indexed="6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right/>
      <top style="thin">
        <color indexed="8"/>
      </top>
      <bottom style="thin">
        <color indexed="8"/>
      </bottom>
      <diagonal/>
    </border>
    <border>
      <left style="medium">
        <color indexed="8"/>
      </left>
      <right style="thin">
        <color indexed="60"/>
      </right>
      <top style="medium">
        <color indexed="8"/>
      </top>
      <bottom style="thin">
        <color indexed="60"/>
      </bottom>
      <diagonal/>
    </border>
    <border>
      <left style="medium">
        <color indexed="8"/>
      </left>
      <right/>
      <top/>
      <bottom style="medium">
        <color indexed="8"/>
      </bottom>
      <diagonal/>
    </border>
    <border>
      <left style="thin">
        <color indexed="63"/>
      </left>
      <right style="thin">
        <color indexed="63"/>
      </right>
      <top style="thin">
        <color indexed="63"/>
      </top>
      <bottom style="thin">
        <color indexed="63"/>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right style="thin">
        <color theme="0" tint="-0.14999847407452621"/>
      </right>
      <top/>
      <bottom/>
      <diagonal/>
    </border>
    <border>
      <left/>
      <right/>
      <top/>
      <bottom style="thin">
        <color indexed="64"/>
      </bottom>
      <diagonal/>
    </border>
    <border>
      <left style="thin">
        <color indexed="9"/>
      </left>
      <right style="thin">
        <color indexed="9"/>
      </right>
      <top style="thin">
        <color indexed="9"/>
      </top>
      <bottom/>
      <diagonal/>
    </border>
    <border>
      <left/>
      <right/>
      <top style="thin">
        <color indexed="64"/>
      </top>
      <bottom/>
      <diagonal/>
    </border>
    <border>
      <left/>
      <right/>
      <top style="thin">
        <color indexed="64"/>
      </top>
      <bottom style="thin">
        <color indexed="64"/>
      </bottom>
      <diagonal/>
    </border>
    <border>
      <left/>
      <right/>
      <top style="thin">
        <color theme="0" tint="-0.34998626667073579"/>
      </top>
      <bottom/>
      <diagonal/>
    </border>
    <border>
      <left/>
      <right/>
      <top/>
      <bottom style="thin">
        <color indexed="9"/>
      </bottom>
      <diagonal/>
    </border>
    <border>
      <left style="thin">
        <color theme="0" tint="-0.14996795556505021"/>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theme="0" tint="-0.14996795556505021"/>
      </right>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indexed="64"/>
      </bottom>
      <diagonal/>
    </border>
    <border>
      <left style="thin">
        <color theme="0" tint="-0.14996795556505021"/>
      </left>
      <right style="thin">
        <color indexed="64"/>
      </right>
      <top style="thin">
        <color indexed="64"/>
      </top>
      <bottom style="thin">
        <color theme="0" tint="-0.14996795556505021"/>
      </bottom>
      <diagonal/>
    </border>
    <border>
      <left/>
      <right/>
      <top/>
      <bottom style="medium">
        <color rgb="FF6B2879"/>
      </bottom>
      <diagonal/>
    </border>
    <border>
      <left style="thin">
        <color theme="0" tint="-0.14996795556505021"/>
      </left>
      <right style="thin">
        <color indexed="64"/>
      </right>
      <top style="thin">
        <color theme="0" tint="-0.14996795556505021"/>
      </top>
      <bottom/>
      <diagonal/>
    </border>
  </borders>
  <cellStyleXfs count="62">
    <xf numFmtId="0" fontId="0"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1" fillId="16" borderId="1" applyNumberFormat="0" applyFont="0" applyAlignment="0" applyProtection="0"/>
    <xf numFmtId="0" fontId="13" fillId="17" borderId="2" applyNumberFormat="0" applyAlignment="0" applyProtection="0"/>
    <xf numFmtId="0" fontId="14" fillId="4" borderId="0" applyNumberFormat="0" applyBorder="0" applyAlignment="0" applyProtection="0"/>
    <xf numFmtId="0" fontId="15" fillId="18" borderId="3" applyNumberFormat="0" applyFont="0" applyBorder="0" applyAlignment="0" applyProtection="0"/>
    <xf numFmtId="0" fontId="16" fillId="3"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22" borderId="0" applyNumberFormat="0" applyBorder="0" applyAlignment="0" applyProtection="0"/>
    <xf numFmtId="0" fontId="17" fillId="0" borderId="0" applyNumberFormat="0" applyFill="0" applyBorder="0" applyAlignment="0" applyProtection="0"/>
    <xf numFmtId="0" fontId="7" fillId="0" borderId="0" applyNumberFormat="0" applyFill="0" applyBorder="0" applyAlignment="0" applyProtection="0">
      <alignment vertical="top"/>
      <protection locked="0"/>
    </xf>
    <xf numFmtId="0" fontId="18" fillId="7" borderId="2" applyNumberFormat="0" applyAlignment="0" applyProtection="0"/>
    <xf numFmtId="0" fontId="19" fillId="23" borderId="4" applyNumberFormat="0" applyAlignment="0" applyProtection="0"/>
    <xf numFmtId="0" fontId="20" fillId="0" borderId="5" applyNumberFormat="0" applyFill="0" applyAlignment="0" applyProtection="0"/>
    <xf numFmtId="0" fontId="21" fillId="24" borderId="0" applyNumberFormat="0" applyBorder="0" applyAlignment="0" applyProtection="0"/>
    <xf numFmtId="0" fontId="22" fillId="0" borderId="0" applyNumberFormat="0" applyFill="0" applyBorder="0" applyAlignment="0" applyProtection="0"/>
    <xf numFmtId="0" fontId="23" fillId="0" borderId="6" applyNumberFormat="0" applyFill="0" applyAlignment="0" applyProtection="0"/>
    <xf numFmtId="0" fontId="24" fillId="0" borderId="7" applyNumberFormat="0" applyFill="0" applyAlignment="0" applyProtection="0"/>
    <xf numFmtId="0" fontId="25" fillId="0" borderId="8" applyNumberFormat="0" applyFill="0" applyAlignment="0" applyProtection="0"/>
    <xf numFmtId="0" fontId="25" fillId="0" borderId="0" applyNumberFormat="0" applyFill="0" applyBorder="0" applyAlignment="0" applyProtection="0"/>
    <xf numFmtId="0" fontId="26" fillId="25" borderId="0" applyBorder="0"/>
    <xf numFmtId="0" fontId="9" fillId="25" borderId="0"/>
    <xf numFmtId="0" fontId="10" fillId="0" borderId="9">
      <alignment horizontal="right" vertical="center"/>
    </xf>
    <xf numFmtId="0" fontId="27" fillId="0" borderId="10" applyNumberFormat="0" applyFill="0" applyAlignment="0" applyProtection="0"/>
    <xf numFmtId="0" fontId="15" fillId="0" borderId="3"/>
    <xf numFmtId="0" fontId="15" fillId="0" borderId="11" applyAlignment="0"/>
    <xf numFmtId="0" fontId="10" fillId="0" borderId="12" applyNumberFormat="0" applyFill="0" applyBorder="0" applyAlignment="0" applyProtection="0"/>
    <xf numFmtId="0" fontId="28" fillId="0" borderId="3" applyNumberFormat="0" applyFill="0" applyBorder="0" applyAlignment="0" applyProtection="0"/>
    <xf numFmtId="0" fontId="26" fillId="25" borderId="13" applyNumberFormat="0" applyAlignment="0" applyProtection="0">
      <protection locked="0"/>
    </xf>
    <xf numFmtId="0" fontId="8" fillId="25" borderId="0">
      <alignment vertical="top"/>
    </xf>
    <xf numFmtId="0" fontId="28" fillId="0" borderId="0"/>
    <xf numFmtId="0" fontId="29" fillId="17" borderId="14" applyNumberFormat="0" applyAlignment="0" applyProtection="0"/>
    <xf numFmtId="0" fontId="30" fillId="0" borderId="0" applyNumberFormat="0" applyFill="0" applyBorder="0" applyAlignment="0" applyProtection="0"/>
    <xf numFmtId="9" fontId="41" fillId="0" borderId="0" applyFont="0" applyFill="0" applyBorder="0" applyAlignment="0" applyProtection="0"/>
    <xf numFmtId="0" fontId="8" fillId="0" borderId="0"/>
    <xf numFmtId="9" fontId="8" fillId="0" borderId="0" applyFont="0" applyFill="0" applyBorder="0" applyAlignment="0" applyProtection="0"/>
    <xf numFmtId="0" fontId="2" fillId="0" borderId="0"/>
    <xf numFmtId="0" fontId="2" fillId="0" borderId="0"/>
    <xf numFmtId="0" fontId="49" fillId="0" borderId="0" applyNumberFormat="0" applyFill="0" applyBorder="0" applyAlignment="0" applyProtection="0"/>
    <xf numFmtId="0" fontId="1" fillId="0" borderId="0"/>
    <xf numFmtId="0" fontId="1" fillId="0" borderId="0"/>
  </cellStyleXfs>
  <cellXfs count="512">
    <xf numFmtId="0" fontId="0" fillId="0" borderId="0" xfId="0"/>
    <xf numFmtId="0" fontId="36" fillId="27" borderId="0" xfId="0" applyFont="1" applyFill="1"/>
    <xf numFmtId="0" fontId="37" fillId="26" borderId="23" xfId="31" applyFont="1" applyFill="1" applyBorder="1" applyAlignment="1" applyProtection="1">
      <alignment horizontal="center" vertical="center"/>
    </xf>
    <xf numFmtId="0" fontId="37" fillId="26" borderId="0" xfId="0" applyFont="1" applyFill="1"/>
    <xf numFmtId="0" fontId="37" fillId="27" borderId="0" xfId="31" applyFont="1" applyFill="1" applyBorder="1" applyAlignment="1" applyProtection="1">
      <alignment horizontal="center" vertical="center"/>
    </xf>
    <xf numFmtId="0" fontId="37" fillId="26" borderId="0" xfId="31" applyFont="1" applyFill="1" applyAlignment="1" applyProtection="1">
      <alignment vertical="center"/>
    </xf>
    <xf numFmtId="0" fontId="37" fillId="26" borderId="0" xfId="55" applyFont="1" applyFill="1"/>
    <xf numFmtId="1" fontId="15" fillId="27" borderId="9" xfId="0" applyNumberFormat="1" applyFont="1" applyFill="1" applyBorder="1" applyAlignment="1" applyProtection="1">
      <alignment horizontal="center"/>
      <protection locked="0"/>
    </xf>
    <xf numFmtId="9" fontId="15" fillId="27" borderId="9" xfId="54" applyFont="1" applyFill="1" applyBorder="1" applyAlignment="1" applyProtection="1">
      <alignment horizontal="center"/>
      <protection locked="0"/>
    </xf>
    <xf numFmtId="0" fontId="37" fillId="26" borderId="0" xfId="31" applyFont="1" applyFill="1" applyAlignment="1" applyProtection="1">
      <alignment horizontal="center" vertical="center"/>
    </xf>
    <xf numFmtId="0" fontId="37" fillId="26" borderId="0" xfId="31" applyFont="1" applyFill="1" applyBorder="1" applyAlignment="1" applyProtection="1">
      <alignment horizontal="center" vertical="center"/>
    </xf>
    <xf numFmtId="2" fontId="15" fillId="27" borderId="9" xfId="0" applyNumberFormat="1" applyFont="1" applyFill="1" applyBorder="1" applyAlignment="1" applyProtection="1">
      <alignment horizontal="center"/>
      <protection locked="0"/>
    </xf>
    <xf numFmtId="3" fontId="15" fillId="27" borderId="9" xfId="0" applyNumberFormat="1" applyFont="1" applyFill="1" applyBorder="1" applyAlignment="1" applyProtection="1">
      <alignment horizontal="center"/>
      <protection locked="0"/>
    </xf>
    <xf numFmtId="0" fontId="52" fillId="27" borderId="0" xfId="55" applyFont="1" applyFill="1"/>
    <xf numFmtId="0" fontId="51" fillId="27" borderId="0" xfId="55" applyFont="1" applyFill="1"/>
    <xf numFmtId="1" fontId="54" fillId="27" borderId="0" xfId="55" applyNumberFormat="1" applyFont="1" applyFill="1" applyAlignment="1">
      <alignment horizontal="center"/>
    </xf>
    <xf numFmtId="0" fontId="53" fillId="27" borderId="0" xfId="55" applyFont="1" applyFill="1"/>
    <xf numFmtId="0" fontId="55" fillId="27" borderId="0" xfId="55" applyFont="1" applyFill="1"/>
    <xf numFmtId="0" fontId="57" fillId="27" borderId="0" xfId="55" applyFont="1" applyFill="1"/>
    <xf numFmtId="0" fontId="53" fillId="27" borderId="18" xfId="55" applyFont="1" applyFill="1" applyBorder="1"/>
    <xf numFmtId="0" fontId="57" fillId="27" borderId="18" xfId="55" applyFont="1" applyFill="1" applyBorder="1"/>
    <xf numFmtId="0" fontId="52" fillId="27" borderId="18" xfId="55" applyFont="1" applyFill="1" applyBorder="1"/>
    <xf numFmtId="0" fontId="58" fillId="27" borderId="0" xfId="55" applyFont="1" applyFill="1" applyAlignment="1">
      <alignment vertical="center"/>
    </xf>
    <xf numFmtId="0" fontId="52" fillId="27" borderId="18" xfId="0" applyFont="1" applyFill="1" applyBorder="1"/>
    <xf numFmtId="0" fontId="52" fillId="27" borderId="21" xfId="0" applyFont="1" applyFill="1" applyBorder="1" applyAlignment="1">
      <alignment vertical="center" wrapText="1"/>
    </xf>
    <xf numFmtId="0" fontId="52" fillId="27" borderId="21" xfId="0" applyFont="1" applyFill="1" applyBorder="1" applyAlignment="1">
      <alignment vertical="center"/>
    </xf>
    <xf numFmtId="0" fontId="52" fillId="27" borderId="21" xfId="0" applyFont="1" applyFill="1" applyBorder="1"/>
    <xf numFmtId="0" fontId="52" fillId="27" borderId="18" xfId="0" applyFont="1" applyFill="1" applyBorder="1" applyAlignment="1">
      <alignment vertical="center" wrapText="1"/>
    </xf>
    <xf numFmtId="0" fontId="52" fillId="27" borderId="0" xfId="0" applyFont="1" applyFill="1"/>
    <xf numFmtId="0" fontId="57" fillId="27" borderId="0" xfId="55" applyFont="1" applyFill="1" applyAlignment="1">
      <alignment horizontal="center"/>
    </xf>
    <xf numFmtId="0" fontId="53" fillId="27" borderId="0" xfId="55" applyFont="1" applyFill="1" applyAlignment="1">
      <alignment horizontal="center"/>
    </xf>
    <xf numFmtId="0" fontId="52" fillId="27" borderId="24" xfId="0" applyFont="1" applyFill="1" applyBorder="1"/>
    <xf numFmtId="0" fontId="63" fillId="27" borderId="0" xfId="31" applyFont="1" applyFill="1" applyAlignment="1" applyProtection="1"/>
    <xf numFmtId="0" fontId="66" fillId="27" borderId="0" xfId="31" applyFont="1" applyFill="1" applyAlignment="1" applyProtection="1"/>
    <xf numFmtId="0" fontId="60" fillId="27" borderId="0" xfId="0" applyFont="1" applyFill="1"/>
    <xf numFmtId="0" fontId="38" fillId="27" borderId="0" xfId="0" applyFont="1" applyFill="1"/>
    <xf numFmtId="0" fontId="38" fillId="27" borderId="0" xfId="55" applyFont="1" applyFill="1"/>
    <xf numFmtId="0" fontId="61" fillId="27" borderId="0" xfId="55" applyFont="1" applyFill="1"/>
    <xf numFmtId="0" fontId="52" fillId="27" borderId="24" xfId="55" applyFont="1" applyFill="1" applyBorder="1"/>
    <xf numFmtId="0" fontId="60" fillId="27" borderId="0" xfId="55" applyFont="1" applyFill="1"/>
    <xf numFmtId="0" fontId="52" fillId="27" borderId="0" xfId="55" applyFont="1" applyFill="1" applyAlignment="1">
      <alignment horizontal="center" vertical="center"/>
    </xf>
    <xf numFmtId="0" fontId="52" fillId="27" borderId="0" xfId="55" applyFont="1" applyFill="1" applyAlignment="1">
      <alignment vertical="center"/>
    </xf>
    <xf numFmtId="0" fontId="52" fillId="27" borderId="0" xfId="55" applyFont="1" applyFill="1" applyAlignment="1">
      <alignment horizontal="left" vertical="center" wrapText="1"/>
    </xf>
    <xf numFmtId="0" fontId="52" fillId="27" borderId="0" xfId="55" applyFont="1" applyFill="1" applyAlignment="1">
      <alignment vertical="center" wrapText="1"/>
    </xf>
    <xf numFmtId="0" fontId="52" fillId="27" borderId="0" xfId="55" applyFont="1" applyFill="1" applyAlignment="1">
      <alignment horizontal="center" vertical="center" wrapText="1"/>
    </xf>
    <xf numFmtId="0" fontId="56" fillId="27" borderId="0" xfId="55" applyFont="1" applyFill="1" applyAlignment="1">
      <alignment horizontal="left" vertical="center"/>
    </xf>
    <xf numFmtId="0" fontId="52" fillId="27" borderId="0" xfId="55" applyFont="1" applyFill="1" applyAlignment="1">
      <alignment horizontal="left" vertical="center"/>
    </xf>
    <xf numFmtId="0" fontId="61" fillId="27" borderId="0" xfId="55" applyFont="1" applyFill="1" applyAlignment="1">
      <alignment vertical="top"/>
    </xf>
    <xf numFmtId="0" fontId="61" fillId="27" borderId="0" xfId="55" applyFont="1" applyFill="1" applyAlignment="1">
      <alignment vertical="top" wrapText="1"/>
    </xf>
    <xf numFmtId="0" fontId="61" fillId="27" borderId="0" xfId="55" applyFont="1" applyFill="1" applyAlignment="1">
      <alignment wrapText="1"/>
    </xf>
    <xf numFmtId="0" fontId="52" fillId="27" borderId="0" xfId="55" applyFont="1" applyFill="1" applyAlignment="1">
      <alignment vertical="top" wrapText="1"/>
    </xf>
    <xf numFmtId="0" fontId="68" fillId="27" borderId="0" xfId="55" applyFont="1" applyFill="1" applyAlignment="1">
      <alignment horizontal="center" vertical="center"/>
    </xf>
    <xf numFmtId="164" fontId="58" fillId="27" borderId="0" xfId="55" applyNumberFormat="1" applyFont="1" applyFill="1" applyAlignment="1">
      <alignment horizontal="left"/>
    </xf>
    <xf numFmtId="0" fontId="52" fillId="27" borderId="0" xfId="55" applyFont="1" applyFill="1" applyAlignment="1">
      <alignment horizontal="left"/>
    </xf>
    <xf numFmtId="164" fontId="53" fillId="27" borderId="0" xfId="55" applyNumberFormat="1" applyFont="1" applyFill="1" applyAlignment="1">
      <alignment horizontal="center"/>
    </xf>
    <xf numFmtId="3" fontId="53" fillId="27" borderId="0" xfId="55" applyNumberFormat="1" applyFont="1" applyFill="1"/>
    <xf numFmtId="3" fontId="53" fillId="27" borderId="0" xfId="55" applyNumberFormat="1" applyFont="1" applyFill="1" applyAlignment="1">
      <alignment horizontal="left"/>
    </xf>
    <xf numFmtId="0" fontId="53" fillId="27" borderId="0" xfId="55" applyFont="1" applyFill="1" applyAlignment="1">
      <alignment horizontal="left"/>
    </xf>
    <xf numFmtId="0" fontId="53" fillId="27" borderId="0" xfId="55" applyFont="1" applyFill="1" applyAlignment="1">
      <alignment horizontal="left" vertical="center"/>
    </xf>
    <xf numFmtId="164" fontId="53" fillId="27" borderId="0" xfId="55" applyNumberFormat="1" applyFont="1" applyFill="1" applyAlignment="1">
      <alignment horizontal="center" vertical="center"/>
    </xf>
    <xf numFmtId="10" fontId="15" fillId="27" borderId="9" xfId="54" applyNumberFormat="1" applyFont="1" applyFill="1" applyBorder="1" applyAlignment="1" applyProtection="1">
      <alignment horizontal="center"/>
      <protection locked="0"/>
    </xf>
    <xf numFmtId="0" fontId="38" fillId="27" borderId="0" xfId="0" applyFont="1" applyFill="1" applyAlignment="1">
      <alignment horizontal="left"/>
    </xf>
    <xf numFmtId="0" fontId="52" fillId="27" borderId="21" xfId="0" applyFont="1" applyFill="1" applyBorder="1" applyAlignment="1">
      <alignment horizontal="left" vertical="center" wrapText="1"/>
    </xf>
    <xf numFmtId="0" fontId="52" fillId="27" borderId="18" xfId="0" applyFont="1" applyFill="1" applyBorder="1" applyAlignment="1">
      <alignment horizontal="left" vertical="center" wrapText="1"/>
    </xf>
    <xf numFmtId="3" fontId="54" fillId="27" borderId="0" xfId="55" applyNumberFormat="1" applyFont="1" applyFill="1" applyAlignment="1">
      <alignment horizontal="center"/>
    </xf>
    <xf numFmtId="0" fontId="56" fillId="27" borderId="0" xfId="55" applyFont="1" applyFill="1"/>
    <xf numFmtId="0" fontId="52" fillId="27" borderId="0" xfId="55" applyFont="1" applyFill="1" applyAlignment="1">
      <alignment horizontal="left" vertical="top" wrapText="1"/>
    </xf>
    <xf numFmtId="0" fontId="52" fillId="27" borderId="18" xfId="55" applyFont="1" applyFill="1" applyBorder="1" applyAlignment="1" applyProtection="1">
      <alignment horizontal="left"/>
      <protection locked="0"/>
    </xf>
    <xf numFmtId="164" fontId="58" fillId="27" borderId="18" xfId="55" applyNumberFormat="1" applyFont="1" applyFill="1" applyBorder="1" applyAlignment="1" applyProtection="1">
      <alignment horizontal="left"/>
      <protection locked="0"/>
    </xf>
    <xf numFmtId="164" fontId="58" fillId="27" borderId="21" xfId="55" applyNumberFormat="1" applyFont="1" applyFill="1" applyBorder="1" applyAlignment="1" applyProtection="1">
      <alignment horizontal="left"/>
      <protection locked="0"/>
    </xf>
    <xf numFmtId="0" fontId="37" fillId="26" borderId="0" xfId="31" applyFont="1" applyFill="1" applyBorder="1" applyAlignment="1" applyProtection="1">
      <alignment horizontal="left" vertical="center"/>
    </xf>
    <xf numFmtId="0" fontId="57" fillId="0" borderId="25" xfId="0" applyFont="1" applyBorder="1" applyAlignment="1" applyProtection="1">
      <alignment horizontal="center"/>
      <protection locked="0"/>
    </xf>
    <xf numFmtId="0" fontId="58" fillId="0" borderId="9" xfId="0" applyFont="1" applyBorder="1" applyAlignment="1" applyProtection="1">
      <alignment horizontal="center" wrapText="1"/>
      <protection locked="0"/>
    </xf>
    <xf numFmtId="0" fontId="60" fillId="27" borderId="0" xfId="0" applyFont="1" applyFill="1" applyAlignment="1">
      <alignment horizontal="center"/>
    </xf>
    <xf numFmtId="0" fontId="52" fillId="27" borderId="21" xfId="0" applyFont="1" applyFill="1" applyBorder="1" applyAlignment="1">
      <alignment horizontal="center" vertical="center"/>
    </xf>
    <xf numFmtId="0" fontId="52" fillId="27" borderId="21" xfId="0" applyFont="1" applyFill="1" applyBorder="1" applyAlignment="1">
      <alignment horizontal="center"/>
    </xf>
    <xf numFmtId="0" fontId="52" fillId="32" borderId="21" xfId="0" applyFont="1" applyFill="1" applyBorder="1"/>
    <xf numFmtId="0" fontId="52" fillId="27" borderId="20" xfId="0" applyFont="1" applyFill="1" applyBorder="1" applyAlignment="1">
      <alignment horizontal="center" vertical="center"/>
    </xf>
    <xf numFmtId="0" fontId="52" fillId="27" borderId="20" xfId="0" applyFont="1" applyFill="1" applyBorder="1" applyAlignment="1">
      <alignment vertical="center"/>
    </xf>
    <xf numFmtId="0" fontId="52" fillId="27" borderId="21" xfId="0" applyFont="1" applyFill="1" applyBorder="1" applyAlignment="1">
      <alignment horizontal="center" vertical="center" wrapText="1"/>
    </xf>
    <xf numFmtId="0" fontId="56" fillId="27" borderId="18" xfId="0" applyFont="1" applyFill="1" applyBorder="1" applyAlignment="1">
      <alignment horizontal="left" vertical="center"/>
    </xf>
    <xf numFmtId="0" fontId="52" fillId="27" borderId="21" xfId="0" applyFont="1" applyFill="1" applyBorder="1" applyAlignment="1">
      <alignment horizontal="left" vertical="center"/>
    </xf>
    <xf numFmtId="0" fontId="61" fillId="31" borderId="18" xfId="0" applyFont="1" applyFill="1" applyBorder="1" applyAlignment="1">
      <alignment vertical="top"/>
    </xf>
    <xf numFmtId="0" fontId="61" fillId="31" borderId="18" xfId="0" applyFont="1" applyFill="1" applyBorder="1" applyAlignment="1">
      <alignment vertical="top" wrapText="1"/>
    </xf>
    <xf numFmtId="0" fontId="61" fillId="31" borderId="18" xfId="0" applyFont="1" applyFill="1" applyBorder="1" applyAlignment="1">
      <alignment wrapText="1"/>
    </xf>
    <xf numFmtId="0" fontId="52" fillId="27" borderId="21" xfId="0" applyFont="1" applyFill="1" applyBorder="1" applyAlignment="1">
      <alignment vertical="top" wrapText="1"/>
    </xf>
    <xf numFmtId="0" fontId="68" fillId="27" borderId="21" xfId="0" applyFont="1" applyFill="1" applyBorder="1" applyAlignment="1">
      <alignment horizontal="center" vertical="center"/>
    </xf>
    <xf numFmtId="0" fontId="52" fillId="27" borderId="38" xfId="0" applyFont="1" applyFill="1" applyBorder="1" applyAlignment="1">
      <alignment horizontal="center"/>
    </xf>
    <xf numFmtId="0" fontId="53" fillId="0" borderId="0" xfId="60" applyFont="1"/>
    <xf numFmtId="0" fontId="62" fillId="27" borderId="0" xfId="60" applyFont="1" applyFill="1"/>
    <xf numFmtId="0" fontId="62" fillId="0" borderId="0" xfId="61" applyFont="1"/>
    <xf numFmtId="0" fontId="37" fillId="29" borderId="0" xfId="31" applyFont="1" applyFill="1" applyBorder="1" applyAlignment="1" applyProtection="1">
      <alignment horizontal="left" vertical="center"/>
    </xf>
    <xf numFmtId="0" fontId="37" fillId="29" borderId="0" xfId="31" applyFont="1" applyFill="1" applyBorder="1" applyAlignment="1" applyProtection="1">
      <alignment horizontal="center" vertical="center"/>
    </xf>
    <xf numFmtId="0" fontId="37" fillId="33" borderId="0" xfId="31" applyFont="1" applyFill="1" applyBorder="1" applyAlignment="1" applyProtection="1">
      <alignment horizontal="left" vertical="center"/>
    </xf>
    <xf numFmtId="0" fontId="37" fillId="33" borderId="0" xfId="31" applyFont="1" applyFill="1" applyBorder="1" applyAlignment="1" applyProtection="1">
      <alignment horizontal="center" vertical="center"/>
    </xf>
    <xf numFmtId="0" fontId="37" fillId="34" borderId="0" xfId="31" applyFont="1" applyFill="1" applyBorder="1" applyAlignment="1" applyProtection="1">
      <alignment horizontal="left" vertical="center"/>
    </xf>
    <xf numFmtId="0" fontId="37" fillId="34" borderId="0" xfId="31" applyFont="1" applyFill="1" applyBorder="1" applyAlignment="1" applyProtection="1">
      <alignment horizontal="center" vertical="center"/>
    </xf>
    <xf numFmtId="0" fontId="36" fillId="27" borderId="0" xfId="55" applyFont="1" applyFill="1"/>
    <xf numFmtId="165" fontId="56" fillId="27" borderId="0" xfId="56" applyNumberFormat="1" applyFont="1" applyFill="1" applyAlignment="1">
      <alignment horizontal="left"/>
    </xf>
    <xf numFmtId="0" fontId="54" fillId="27" borderId="0" xfId="55" applyFont="1" applyFill="1" applyAlignment="1">
      <alignment horizontal="center"/>
    </xf>
    <xf numFmtId="3" fontId="52" fillId="27" borderId="0" xfId="55" applyNumberFormat="1" applyFont="1" applyFill="1" applyAlignment="1">
      <alignment horizontal="center"/>
    </xf>
    <xf numFmtId="0" fontId="57" fillId="27" borderId="0" xfId="55" applyFont="1" applyFill="1" applyAlignment="1">
      <alignment horizontal="left"/>
    </xf>
    <xf numFmtId="0" fontId="52" fillId="27" borderId="0" xfId="55" applyFont="1" applyFill="1" applyAlignment="1">
      <alignment horizontal="center"/>
    </xf>
    <xf numFmtId="0" fontId="52" fillId="0" borderId="0" xfId="55" applyFont="1"/>
    <xf numFmtId="0" fontId="52" fillId="27" borderId="17" xfId="55" applyFont="1" applyFill="1" applyBorder="1"/>
    <xf numFmtId="0" fontId="38" fillId="27" borderId="41" xfId="55" applyFont="1" applyFill="1" applyBorder="1"/>
    <xf numFmtId="2" fontId="53" fillId="27" borderId="0" xfId="55" applyNumberFormat="1" applyFont="1" applyFill="1" applyAlignment="1">
      <alignment horizontal="right"/>
    </xf>
    <xf numFmtId="0" fontId="80" fillId="27" borderId="0" xfId="55" applyFont="1" applyFill="1"/>
    <xf numFmtId="0" fontId="58" fillId="27" borderId="21" xfId="55" applyFont="1" applyFill="1" applyBorder="1" applyAlignment="1" applyProtection="1">
      <alignment horizontal="left"/>
      <protection locked="0"/>
    </xf>
    <xf numFmtId="0" fontId="58" fillId="27" borderId="0" xfId="55" applyFont="1" applyFill="1" applyAlignment="1" applyProtection="1">
      <alignment horizontal="left"/>
      <protection locked="0"/>
    </xf>
    <xf numFmtId="0" fontId="52" fillId="27" borderId="0" xfId="55" applyFont="1" applyFill="1" applyAlignment="1" applyProtection="1">
      <alignment horizontal="left"/>
      <protection locked="0"/>
    </xf>
    <xf numFmtId="2" fontId="53" fillId="27" borderId="0" xfId="55" applyNumberFormat="1" applyFont="1" applyFill="1" applyAlignment="1">
      <alignment horizontal="right" vertical="center"/>
    </xf>
    <xf numFmtId="0" fontId="53" fillId="27" borderId="0" xfId="55" applyFont="1" applyFill="1" applyAlignment="1">
      <alignment vertical="center"/>
    </xf>
    <xf numFmtId="0" fontId="4" fillId="30" borderId="0" xfId="0" applyFont="1" applyFill="1"/>
    <xf numFmtId="0" fontId="39" fillId="30" borderId="0" xfId="0" applyFont="1" applyFill="1" applyAlignment="1">
      <alignment horizontal="left" vertical="center"/>
    </xf>
    <xf numFmtId="0" fontId="67" fillId="30" borderId="0" xfId="0" applyFont="1" applyFill="1" applyAlignment="1">
      <alignment horizontal="left"/>
    </xf>
    <xf numFmtId="2" fontId="58" fillId="30" borderId="0" xfId="0" applyNumberFormat="1" applyFont="1" applyFill="1" applyAlignment="1">
      <alignment horizontal="right"/>
    </xf>
    <xf numFmtId="0" fontId="67" fillId="30" borderId="35" xfId="0" applyFont="1" applyFill="1" applyBorder="1"/>
    <xf numFmtId="0" fontId="67" fillId="30" borderId="36" xfId="0" applyFont="1" applyFill="1" applyBorder="1"/>
    <xf numFmtId="0" fontId="67" fillId="30" borderId="37" xfId="0" applyFont="1" applyFill="1" applyBorder="1"/>
    <xf numFmtId="0" fontId="58" fillId="30" borderId="35" xfId="0" applyFont="1" applyFill="1" applyBorder="1" applyAlignment="1">
      <alignment horizontal="left"/>
    </xf>
    <xf numFmtId="0" fontId="58" fillId="30" borderId="36" xfId="0" applyFont="1" applyFill="1" applyBorder="1" applyAlignment="1">
      <alignment horizontal="left"/>
    </xf>
    <xf numFmtId="0" fontId="58" fillId="30" borderId="37" xfId="0" applyFont="1" applyFill="1" applyBorder="1" applyAlignment="1">
      <alignment horizontal="left"/>
    </xf>
    <xf numFmtId="0" fontId="58" fillId="30" borderId="0" xfId="0" applyFont="1" applyFill="1" applyAlignment="1">
      <alignment horizontal="left"/>
    </xf>
    <xf numFmtId="0" fontId="75" fillId="30" borderId="35" xfId="0" applyFont="1" applyFill="1" applyBorder="1" applyAlignment="1">
      <alignment horizontal="left"/>
    </xf>
    <xf numFmtId="2" fontId="58" fillId="30" borderId="0" xfId="0" applyNumberFormat="1" applyFont="1" applyFill="1" applyAlignment="1">
      <alignment horizontal="right" wrapText="1"/>
    </xf>
    <xf numFmtId="0" fontId="58" fillId="30" borderId="36" xfId="0" applyFont="1" applyFill="1" applyBorder="1" applyAlignment="1">
      <alignment horizontal="left" wrapText="1"/>
    </xf>
    <xf numFmtId="0" fontId="58" fillId="30" borderId="37" xfId="0" applyFont="1" applyFill="1" applyBorder="1" applyAlignment="1">
      <alignment horizontal="left" wrapText="1"/>
    </xf>
    <xf numFmtId="2" fontId="15" fillId="30" borderId="0" xfId="0" applyNumberFormat="1" applyFont="1" applyFill="1" applyAlignment="1">
      <alignment horizontal="right" vertical="center"/>
    </xf>
    <xf numFmtId="0" fontId="28" fillId="30" borderId="0" xfId="0" applyFont="1" applyFill="1" applyAlignment="1">
      <alignment horizontal="left" vertical="center" wrapText="1"/>
    </xf>
    <xf numFmtId="2" fontId="15" fillId="26" borderId="0" xfId="0" applyNumberFormat="1" applyFont="1" applyFill="1" applyAlignment="1">
      <alignment horizontal="center"/>
    </xf>
    <xf numFmtId="0" fontId="4" fillId="26" borderId="0" xfId="0" applyFont="1" applyFill="1"/>
    <xf numFmtId="0" fontId="28" fillId="26" borderId="0" xfId="0" applyFont="1" applyFill="1" applyAlignment="1">
      <alignment horizontal="left" vertical="center" wrapText="1"/>
    </xf>
    <xf numFmtId="0" fontId="15" fillId="26" borderId="0" xfId="0" applyFont="1" applyFill="1" applyAlignment="1">
      <alignment vertical="center"/>
    </xf>
    <xf numFmtId="0" fontId="5" fillId="29" borderId="0" xfId="0" applyFont="1" applyFill="1"/>
    <xf numFmtId="0" fontId="35" fillId="29" borderId="0" xfId="0" applyFont="1" applyFill="1"/>
    <xf numFmtId="0" fontId="3" fillId="29" borderId="0" xfId="0" applyFont="1" applyFill="1"/>
    <xf numFmtId="0" fontId="3" fillId="29" borderId="0" xfId="0" applyFont="1" applyFill="1" applyAlignment="1">
      <alignment horizontal="center"/>
    </xf>
    <xf numFmtId="2" fontId="15" fillId="30" borderId="0" xfId="0" applyNumberFormat="1" applyFont="1" applyFill="1" applyAlignment="1">
      <alignment horizontal="center"/>
    </xf>
    <xf numFmtId="0" fontId="15" fillId="30" borderId="0" xfId="0" applyFont="1" applyFill="1" applyAlignment="1">
      <alignment vertical="center"/>
    </xf>
    <xf numFmtId="2" fontId="58" fillId="30" borderId="0" xfId="0" applyNumberFormat="1" applyFont="1" applyFill="1" applyAlignment="1">
      <alignment horizontal="right" vertical="center"/>
    </xf>
    <xf numFmtId="0" fontId="58" fillId="30" borderId="0" xfId="0" applyFont="1" applyFill="1" applyAlignment="1">
      <alignment horizontal="left" vertical="center"/>
    </xf>
    <xf numFmtId="0" fontId="58" fillId="30" borderId="0" xfId="0" applyFont="1" applyFill="1" applyAlignment="1">
      <alignment vertical="center"/>
    </xf>
    <xf numFmtId="0" fontId="80" fillId="30" borderId="0" xfId="0" applyFont="1" applyFill="1" applyAlignment="1">
      <alignment horizontal="left" vertical="center"/>
    </xf>
    <xf numFmtId="0" fontId="50" fillId="30" borderId="0" xfId="0" applyFont="1" applyFill="1" applyAlignment="1">
      <alignment horizontal="left" vertical="center" wrapText="1"/>
    </xf>
    <xf numFmtId="0" fontId="50" fillId="30" borderId="0" xfId="0" applyFont="1" applyFill="1" applyAlignment="1">
      <alignment horizontal="left" vertical="center"/>
    </xf>
    <xf numFmtId="0" fontId="5" fillId="26" borderId="0" xfId="0" applyFont="1" applyFill="1"/>
    <xf numFmtId="0" fontId="40" fillId="26" borderId="0" xfId="0" applyFont="1" applyFill="1" applyAlignment="1">
      <alignment horizontal="left" vertical="center"/>
    </xf>
    <xf numFmtId="0" fontId="40" fillId="26" borderId="0" xfId="0" applyFont="1" applyFill="1" applyAlignment="1">
      <alignment vertical="center"/>
    </xf>
    <xf numFmtId="0" fontId="15" fillId="30" borderId="0" xfId="0" applyFont="1" applyFill="1"/>
    <xf numFmtId="0" fontId="15" fillId="30" borderId="18" xfId="0" applyFont="1" applyFill="1" applyBorder="1" applyAlignment="1">
      <alignment horizontal="center"/>
    </xf>
    <xf numFmtId="0" fontId="28" fillId="30" borderId="18" xfId="0" applyFont="1" applyFill="1" applyBorder="1"/>
    <xf numFmtId="0" fontId="44" fillId="26" borderId="0" xfId="0" applyFont="1" applyFill="1"/>
    <xf numFmtId="0" fontId="28" fillId="30" borderId="0" xfId="0" applyFont="1" applyFill="1"/>
    <xf numFmtId="0" fontId="32" fillId="30" borderId="18" xfId="0" applyFont="1" applyFill="1" applyBorder="1" applyAlignment="1">
      <alignment horizontal="left"/>
    </xf>
    <xf numFmtId="0" fontId="32" fillId="30" borderId="0" xfId="0" applyFont="1" applyFill="1" applyAlignment="1">
      <alignment horizontal="left"/>
    </xf>
    <xf numFmtId="0" fontId="31" fillId="30" borderId="0" xfId="0" applyFont="1" applyFill="1" applyAlignment="1">
      <alignment horizontal="left"/>
    </xf>
    <xf numFmtId="0" fontId="31" fillId="30" borderId="0" xfId="0" applyFont="1" applyFill="1"/>
    <xf numFmtId="0" fontId="33" fillId="26" borderId="0" xfId="0" applyFont="1" applyFill="1"/>
    <xf numFmtId="0" fontId="46" fillId="30" borderId="0" xfId="0" applyFont="1" applyFill="1"/>
    <xf numFmtId="0" fontId="28" fillId="30" borderId="29" xfId="0" applyFont="1" applyFill="1" applyBorder="1" applyAlignment="1">
      <alignment horizontal="left"/>
    </xf>
    <xf numFmtId="0" fontId="28" fillId="30" borderId="28" xfId="0" applyFont="1" applyFill="1" applyBorder="1" applyAlignment="1">
      <alignment horizontal="left"/>
    </xf>
    <xf numFmtId="0" fontId="46" fillId="30" borderId="0" xfId="0" applyFont="1" applyFill="1" applyAlignment="1">
      <alignment horizontal="left"/>
    </xf>
    <xf numFmtId="0" fontId="46" fillId="30" borderId="29" xfId="0" applyFont="1" applyFill="1" applyBorder="1" applyAlignment="1">
      <alignment horizontal="left"/>
    </xf>
    <xf numFmtId="1" fontId="46" fillId="30" borderId="0" xfId="0" applyNumberFormat="1" applyFont="1" applyFill="1"/>
    <xf numFmtId="0" fontId="74" fillId="30" borderId="0" xfId="0" applyFont="1" applyFill="1"/>
    <xf numFmtId="0" fontId="28" fillId="30" borderId="26" xfId="0" applyFont="1" applyFill="1" applyBorder="1" applyAlignment="1">
      <alignment horizontal="left"/>
    </xf>
    <xf numFmtId="0" fontId="32" fillId="30" borderId="21" xfId="0" applyFont="1" applyFill="1" applyBorder="1" applyAlignment="1">
      <alignment horizontal="left"/>
    </xf>
    <xf numFmtId="0" fontId="28" fillId="30" borderId="21" xfId="0" applyFont="1" applyFill="1" applyBorder="1"/>
    <xf numFmtId="0" fontId="45" fillId="30" borderId="0" xfId="0" applyFont="1" applyFill="1"/>
    <xf numFmtId="0" fontId="45" fillId="30" borderId="29" xfId="0" applyFont="1" applyFill="1" applyBorder="1" applyAlignment="1">
      <alignment horizontal="left"/>
    </xf>
    <xf numFmtId="0" fontId="45" fillId="30" borderId="0" xfId="0" applyFont="1" applyFill="1" applyAlignment="1">
      <alignment horizontal="left"/>
    </xf>
    <xf numFmtId="0" fontId="45" fillId="30" borderId="28" xfId="0" applyFont="1" applyFill="1" applyBorder="1" applyAlignment="1">
      <alignment horizontal="left"/>
    </xf>
    <xf numFmtId="0" fontId="45" fillId="30" borderId="18" xfId="0" applyFont="1" applyFill="1" applyBorder="1" applyAlignment="1">
      <alignment horizontal="left"/>
    </xf>
    <xf numFmtId="0" fontId="45" fillId="30" borderId="18" xfId="0" applyFont="1" applyFill="1" applyBorder="1"/>
    <xf numFmtId="0" fontId="32" fillId="30" borderId="26" xfId="0" applyFont="1" applyFill="1" applyBorder="1" applyAlignment="1">
      <alignment horizontal="left"/>
    </xf>
    <xf numFmtId="0" fontId="45" fillId="30" borderId="26" xfId="0" applyFont="1" applyFill="1" applyBorder="1" applyAlignment="1">
      <alignment horizontal="left"/>
    </xf>
    <xf numFmtId="0" fontId="45" fillId="30" borderId="21" xfId="0" applyFont="1" applyFill="1" applyBorder="1" applyAlignment="1">
      <alignment horizontal="left"/>
    </xf>
    <xf numFmtId="0" fontId="46" fillId="30" borderId="21" xfId="0" applyFont="1" applyFill="1" applyBorder="1"/>
    <xf numFmtId="0" fontId="3" fillId="28" borderId="0" xfId="0" applyFont="1" applyFill="1"/>
    <xf numFmtId="0" fontId="47" fillId="28" borderId="0" xfId="0" applyFont="1" applyFill="1" applyAlignment="1">
      <alignment vertical="center"/>
    </xf>
    <xf numFmtId="0" fontId="58" fillId="30" borderId="0" xfId="0" applyFont="1" applyFill="1" applyAlignment="1">
      <alignment horizontal="center"/>
    </xf>
    <xf numFmtId="0" fontId="58" fillId="0" borderId="25" xfId="0" applyFont="1" applyBorder="1" applyAlignment="1" applyProtection="1">
      <alignment horizontal="center" wrapText="1"/>
      <protection locked="0"/>
    </xf>
    <xf numFmtId="0" fontId="58" fillId="30" borderId="0" xfId="0" applyFont="1" applyFill="1" applyAlignment="1">
      <alignment horizontal="center" wrapText="1"/>
    </xf>
    <xf numFmtId="0" fontId="0" fillId="27" borderId="0" xfId="0" applyFill="1"/>
    <xf numFmtId="0" fontId="37" fillId="26" borderId="0" xfId="0" applyFont="1" applyFill="1" applyAlignment="1">
      <alignment horizontal="center" vertical="center"/>
    </xf>
    <xf numFmtId="0" fontId="37" fillId="27" borderId="0" xfId="0" applyFont="1" applyFill="1"/>
    <xf numFmtId="0" fontId="37" fillId="27" borderId="0" xfId="0" applyFont="1" applyFill="1" applyAlignment="1">
      <alignment horizontal="center" vertical="center"/>
    </xf>
    <xf numFmtId="0" fontId="15" fillId="30" borderId="0" xfId="0" applyFont="1" applyFill="1" applyAlignment="1">
      <alignment horizontal="center"/>
    </xf>
    <xf numFmtId="0" fontId="3" fillId="27" borderId="0" xfId="0" applyFont="1" applyFill="1"/>
    <xf numFmtId="0" fontId="4" fillId="27" borderId="0" xfId="0" applyFont="1" applyFill="1"/>
    <xf numFmtId="1" fontId="58" fillId="30" borderId="0" xfId="0" applyNumberFormat="1" applyFont="1" applyFill="1" applyAlignment="1">
      <alignment horizontal="left"/>
    </xf>
    <xf numFmtId="2" fontId="58" fillId="30" borderId="0" xfId="0" applyNumberFormat="1" applyFont="1" applyFill="1" applyAlignment="1">
      <alignment horizontal="center"/>
    </xf>
    <xf numFmtId="2" fontId="58" fillId="30" borderId="0" xfId="0" applyNumberFormat="1" applyFont="1" applyFill="1"/>
    <xf numFmtId="1" fontId="15" fillId="30" borderId="0" xfId="0" applyNumberFormat="1" applyFont="1" applyFill="1" applyAlignment="1">
      <alignment horizontal="center"/>
    </xf>
    <xf numFmtId="0" fontId="39" fillId="26" borderId="0" xfId="0" applyFont="1" applyFill="1" applyAlignment="1">
      <alignment horizontal="left" vertical="center"/>
    </xf>
    <xf numFmtId="0" fontId="71" fillId="26" borderId="0" xfId="0" applyFont="1" applyFill="1"/>
    <xf numFmtId="0" fontId="58" fillId="30" borderId="0" xfId="0" applyFont="1" applyFill="1" applyAlignment="1">
      <alignment horizontal="left" wrapText="1"/>
    </xf>
    <xf numFmtId="0" fontId="4" fillId="27" borderId="0" xfId="0" applyFont="1" applyFill="1" applyAlignment="1">
      <alignment wrapText="1"/>
    </xf>
    <xf numFmtId="0" fontId="15" fillId="30" borderId="0" xfId="0" applyFont="1" applyFill="1" applyAlignment="1">
      <alignment horizontal="left" vertical="center" wrapText="1"/>
    </xf>
    <xf numFmtId="164" fontId="15" fillId="26" borderId="0" xfId="0" applyNumberFormat="1" applyFont="1" applyFill="1" applyAlignment="1">
      <alignment horizontal="center" vertical="center"/>
    </xf>
    <xf numFmtId="164" fontId="15" fillId="26" borderId="0" xfId="0" applyNumberFormat="1" applyFont="1" applyFill="1" applyAlignment="1">
      <alignment horizontal="center"/>
    </xf>
    <xf numFmtId="0" fontId="5" fillId="27" borderId="0" xfId="0" applyFont="1" applyFill="1"/>
    <xf numFmtId="0" fontId="3" fillId="0" borderId="0" xfId="0" applyFont="1"/>
    <xf numFmtId="2" fontId="43" fillId="30" borderId="0" xfId="0" applyNumberFormat="1" applyFont="1" applyFill="1" applyAlignment="1">
      <alignment horizontal="center"/>
    </xf>
    <xf numFmtId="3" fontId="43" fillId="30" borderId="0" xfId="0" applyNumberFormat="1" applyFont="1" applyFill="1" applyAlignment="1">
      <alignment horizontal="center" vertical="center"/>
    </xf>
    <xf numFmtId="3" fontId="42" fillId="30" borderId="0" xfId="0" applyNumberFormat="1" applyFont="1" applyFill="1" applyAlignment="1">
      <alignment horizontal="center" vertical="center"/>
    </xf>
    <xf numFmtId="0" fontId="43" fillId="30" borderId="0" xfId="0" applyFont="1" applyFill="1" applyAlignment="1">
      <alignment horizontal="center"/>
    </xf>
    <xf numFmtId="0" fontId="43" fillId="30" borderId="18" xfId="0" applyFont="1" applyFill="1" applyBorder="1" applyAlignment="1">
      <alignment horizontal="center"/>
    </xf>
    <xf numFmtId="0" fontId="6" fillId="27" borderId="0" xfId="0" applyFont="1" applyFill="1"/>
    <xf numFmtId="0" fontId="82" fillId="26" borderId="0" xfId="0" applyFont="1" applyFill="1" applyAlignment="1">
      <alignment horizontal="center"/>
    </xf>
    <xf numFmtId="0" fontId="82" fillId="26" borderId="20" xfId="0" applyFont="1" applyFill="1" applyBorder="1" applyAlignment="1">
      <alignment horizontal="center"/>
    </xf>
    <xf numFmtId="0" fontId="44" fillId="26" borderId="20" xfId="0" applyFont="1" applyFill="1" applyBorder="1" applyAlignment="1">
      <alignment horizontal="center"/>
    </xf>
    <xf numFmtId="3" fontId="15" fillId="30" borderId="0" xfId="0" applyNumberFormat="1" applyFont="1" applyFill="1" applyAlignment="1">
      <alignment horizontal="center"/>
    </xf>
    <xf numFmtId="3" fontId="31" fillId="30" borderId="0" xfId="0" applyNumberFormat="1" applyFont="1" applyFill="1" applyAlignment="1">
      <alignment horizontal="center"/>
    </xf>
    <xf numFmtId="3" fontId="83" fillId="26" borderId="0" xfId="0" applyNumberFormat="1" applyFont="1" applyFill="1" applyAlignment="1">
      <alignment horizontal="center"/>
    </xf>
    <xf numFmtId="3" fontId="33" fillId="26" borderId="0" xfId="0" applyNumberFormat="1" applyFont="1" applyFill="1" applyAlignment="1">
      <alignment horizontal="center"/>
    </xf>
    <xf numFmtId="3" fontId="15" fillId="30" borderId="0" xfId="0" applyNumberFormat="1" applyFont="1" applyFill="1"/>
    <xf numFmtId="5" fontId="15" fillId="30" borderId="0" xfId="0" applyNumberFormat="1" applyFont="1" applyFill="1"/>
    <xf numFmtId="5" fontId="15" fillId="30" borderId="0" xfId="0" applyNumberFormat="1" applyFont="1" applyFill="1" applyAlignment="1">
      <alignment horizontal="center"/>
    </xf>
    <xf numFmtId="5" fontId="28" fillId="30" borderId="0" xfId="0" applyNumberFormat="1" applyFont="1" applyFill="1" applyAlignment="1">
      <alignment horizontal="center"/>
    </xf>
    <xf numFmtId="3" fontId="83" fillId="26" borderId="0" xfId="0" applyNumberFormat="1" applyFont="1" applyFill="1"/>
    <xf numFmtId="0" fontId="83" fillId="26" borderId="0" xfId="0" applyFont="1" applyFill="1"/>
    <xf numFmtId="3" fontId="15" fillId="30" borderId="18" xfId="0" applyNumberFormat="1" applyFont="1" applyFill="1" applyBorder="1" applyAlignment="1">
      <alignment horizontal="center"/>
    </xf>
    <xf numFmtId="3" fontId="46" fillId="30" borderId="0" xfId="0" applyNumberFormat="1" applyFont="1" applyFill="1" applyAlignment="1">
      <alignment horizontal="center"/>
    </xf>
    <xf numFmtId="3" fontId="15" fillId="30" borderId="21" xfId="0" applyNumberFormat="1" applyFont="1" applyFill="1" applyBorder="1" applyAlignment="1">
      <alignment horizontal="center"/>
    </xf>
    <xf numFmtId="0" fontId="73" fillId="27" borderId="0" xfId="0" applyFont="1" applyFill="1"/>
    <xf numFmtId="0" fontId="76" fillId="27" borderId="0" xfId="0" applyFont="1" applyFill="1"/>
    <xf numFmtId="3" fontId="84" fillId="30" borderId="0" xfId="0" applyNumberFormat="1" applyFont="1" applyFill="1" applyAlignment="1">
      <alignment horizontal="center"/>
    </xf>
    <xf numFmtId="3" fontId="84" fillId="30" borderId="18" xfId="0" applyNumberFormat="1" applyFont="1" applyFill="1" applyBorder="1" applyAlignment="1">
      <alignment horizontal="center"/>
    </xf>
    <xf numFmtId="4" fontId="84" fillId="30" borderId="18" xfId="0" applyNumberFormat="1" applyFont="1" applyFill="1" applyBorder="1" applyAlignment="1">
      <alignment horizontal="center"/>
    </xf>
    <xf numFmtId="3" fontId="84" fillId="30" borderId="21" xfId="0" applyNumberFormat="1" applyFont="1" applyFill="1" applyBorder="1" applyAlignment="1">
      <alignment horizontal="center"/>
    </xf>
    <xf numFmtId="3" fontId="47" fillId="28" borderId="0" xfId="0" applyNumberFormat="1" applyFont="1" applyFill="1" applyAlignment="1">
      <alignment horizontal="center" vertical="center"/>
    </xf>
    <xf numFmtId="0" fontId="3" fillId="27" borderId="16" xfId="0" applyFont="1" applyFill="1" applyBorder="1"/>
    <xf numFmtId="0" fontId="3" fillId="27" borderId="16" xfId="0" applyFont="1" applyFill="1" applyBorder="1" applyAlignment="1">
      <alignment horizontal="center"/>
    </xf>
    <xf numFmtId="0" fontId="3" fillId="27" borderId="15" xfId="0" applyFont="1" applyFill="1" applyBorder="1"/>
    <xf numFmtId="0" fontId="4" fillId="27" borderId="15" xfId="0" applyFont="1" applyFill="1" applyBorder="1" applyAlignment="1">
      <alignment horizontal="center"/>
    </xf>
    <xf numFmtId="0" fontId="3" fillId="27" borderId="0" xfId="0" applyFont="1" applyFill="1" applyAlignment="1">
      <alignment horizontal="center"/>
    </xf>
    <xf numFmtId="0" fontId="3" fillId="27" borderId="15" xfId="0" applyFont="1" applyFill="1" applyBorder="1" applyAlignment="1">
      <alignment horizontal="center"/>
    </xf>
    <xf numFmtId="0" fontId="3" fillId="27" borderId="19" xfId="0" applyFont="1" applyFill="1" applyBorder="1"/>
    <xf numFmtId="0" fontId="4" fillId="27" borderId="0" xfId="0" applyFont="1" applyFill="1" applyAlignment="1">
      <alignment horizontal="center"/>
    </xf>
    <xf numFmtId="0" fontId="8" fillId="27" borderId="0" xfId="0" applyFont="1" applyFill="1"/>
    <xf numFmtId="0" fontId="57" fillId="0" borderId="25" xfId="0" applyFont="1" applyBorder="1" applyAlignment="1" applyProtection="1">
      <alignment horizontal="center" wrapText="1"/>
      <protection locked="0"/>
    </xf>
    <xf numFmtId="0" fontId="37" fillId="29" borderId="0" xfId="0" applyFont="1" applyFill="1"/>
    <xf numFmtId="0" fontId="37" fillId="29" borderId="0" xfId="0" applyFont="1" applyFill="1" applyAlignment="1">
      <alignment horizontal="center" vertical="center"/>
    </xf>
    <xf numFmtId="0" fontId="4" fillId="29" borderId="0" xfId="0" applyFont="1" applyFill="1"/>
    <xf numFmtId="0" fontId="39" fillId="29" borderId="0" xfId="0" applyFont="1" applyFill="1" applyAlignment="1">
      <alignment horizontal="left" vertical="center"/>
    </xf>
    <xf numFmtId="0" fontId="71" fillId="29" borderId="0" xfId="0" applyFont="1" applyFill="1"/>
    <xf numFmtId="2" fontId="15" fillId="29" borderId="0" xfId="0" applyNumberFormat="1" applyFont="1" applyFill="1" applyAlignment="1">
      <alignment horizontal="center"/>
    </xf>
    <xf numFmtId="0" fontId="28" fillId="29" borderId="0" xfId="0" applyFont="1" applyFill="1" applyAlignment="1">
      <alignment horizontal="left" vertical="center" wrapText="1"/>
    </xf>
    <xf numFmtId="0" fontId="15" fillId="29" borderId="0" xfId="0" applyFont="1" applyFill="1" applyAlignment="1">
      <alignment vertical="center"/>
    </xf>
    <xf numFmtId="164" fontId="15" fillId="29" borderId="0" xfId="0" applyNumberFormat="1" applyFont="1" applyFill="1" applyAlignment="1">
      <alignment horizontal="center" vertical="center" wrapText="1"/>
    </xf>
    <xf numFmtId="164" fontId="15" fillId="29" borderId="0" xfId="0" applyNumberFormat="1" applyFont="1" applyFill="1" applyAlignment="1">
      <alignment horizontal="center" wrapText="1"/>
    </xf>
    <xf numFmtId="164" fontId="15" fillId="29" borderId="0" xfId="0" applyNumberFormat="1" applyFont="1" applyFill="1" applyAlignment="1">
      <alignment horizontal="center"/>
    </xf>
    <xf numFmtId="0" fontId="3" fillId="0" borderId="0" xfId="0" applyFont="1" applyAlignment="1">
      <alignment wrapText="1"/>
    </xf>
    <xf numFmtId="2" fontId="43" fillId="30" borderId="0" xfId="0" applyNumberFormat="1" applyFont="1" applyFill="1" applyAlignment="1">
      <alignment horizontal="center" wrapText="1"/>
    </xf>
    <xf numFmtId="3" fontId="43" fillId="30" borderId="0" xfId="0" applyNumberFormat="1" applyFont="1" applyFill="1" applyAlignment="1">
      <alignment horizontal="center" vertical="center" wrapText="1"/>
    </xf>
    <xf numFmtId="3" fontId="42" fillId="30" borderId="0" xfId="0" applyNumberFormat="1" applyFont="1" applyFill="1" applyAlignment="1">
      <alignment horizontal="center" vertical="center" wrapText="1"/>
    </xf>
    <xf numFmtId="2" fontId="15" fillId="30" borderId="0" xfId="0" applyNumberFormat="1" applyFont="1" applyFill="1" applyAlignment="1">
      <alignment horizontal="center" wrapText="1"/>
    </xf>
    <xf numFmtId="0" fontId="40" fillId="29" borderId="0" xfId="0" applyFont="1" applyFill="1" applyAlignment="1">
      <alignment horizontal="left" vertical="center"/>
    </xf>
    <xf numFmtId="0" fontId="40" fillId="29" borderId="0" xfId="0" applyFont="1" applyFill="1" applyAlignment="1">
      <alignment vertical="center"/>
    </xf>
    <xf numFmtId="0" fontId="5" fillId="29" borderId="0" xfId="0" applyFont="1" applyFill="1" applyAlignment="1">
      <alignment wrapText="1"/>
    </xf>
    <xf numFmtId="0" fontId="43" fillId="30" borderId="0" xfId="0" applyFont="1" applyFill="1" applyAlignment="1">
      <alignment horizontal="center" wrapText="1"/>
    </xf>
    <xf numFmtId="0" fontId="43" fillId="30" borderId="18" xfId="0" applyFont="1" applyFill="1" applyBorder="1" applyAlignment="1">
      <alignment horizontal="center" wrapText="1"/>
    </xf>
    <xf numFmtId="0" fontId="44" fillId="29" borderId="0" xfId="0" applyFont="1" applyFill="1"/>
    <xf numFmtId="0" fontId="82" fillId="29" borderId="0" xfId="0" applyFont="1" applyFill="1" applyAlignment="1">
      <alignment horizontal="center" wrapText="1"/>
    </xf>
    <xf numFmtId="0" fontId="82" fillId="29" borderId="20" xfId="0" applyFont="1" applyFill="1" applyBorder="1" applyAlignment="1">
      <alignment horizontal="center" wrapText="1"/>
    </xf>
    <xf numFmtId="0" fontId="44" fillId="29" borderId="20" xfId="0" applyFont="1" applyFill="1" applyBorder="1" applyAlignment="1">
      <alignment horizontal="center"/>
    </xf>
    <xf numFmtId="0" fontId="15" fillId="30" borderId="18" xfId="0" applyFont="1" applyFill="1" applyBorder="1" applyAlignment="1">
      <alignment horizontal="center" wrapText="1"/>
    </xf>
    <xf numFmtId="3" fontId="15" fillId="30" borderId="0" xfId="0" applyNumberFormat="1" applyFont="1" applyFill="1" applyAlignment="1">
      <alignment horizontal="center" wrapText="1"/>
    </xf>
    <xf numFmtId="3" fontId="31" fillId="30" borderId="0" xfId="0" applyNumberFormat="1" applyFont="1" applyFill="1" applyAlignment="1">
      <alignment horizontal="center" wrapText="1"/>
    </xf>
    <xf numFmtId="0" fontId="33" fillId="29" borderId="0" xfId="0" applyFont="1" applyFill="1"/>
    <xf numFmtId="3" fontId="83" fillId="29" borderId="0" xfId="0" applyNumberFormat="1" applyFont="1" applyFill="1" applyAlignment="1">
      <alignment horizontal="center" wrapText="1"/>
    </xf>
    <xf numFmtId="3" fontId="33" fillId="29" borderId="0" xfId="0" applyNumberFormat="1" applyFont="1" applyFill="1" applyAlignment="1">
      <alignment horizontal="center"/>
    </xf>
    <xf numFmtId="3" fontId="15" fillId="30" borderId="0" xfId="0" applyNumberFormat="1" applyFont="1" applyFill="1" applyAlignment="1">
      <alignment wrapText="1"/>
    </xf>
    <xf numFmtId="5" fontId="15" fillId="30" borderId="0" xfId="0" applyNumberFormat="1" applyFont="1" applyFill="1" applyAlignment="1">
      <alignment wrapText="1"/>
    </xf>
    <xf numFmtId="5" fontId="15" fillId="30" borderId="0" xfId="0" applyNumberFormat="1" applyFont="1" applyFill="1" applyAlignment="1">
      <alignment horizontal="center" wrapText="1"/>
    </xf>
    <xf numFmtId="3" fontId="83" fillId="29" borderId="0" xfId="0" applyNumberFormat="1" applyFont="1" applyFill="1" applyAlignment="1">
      <alignment wrapText="1"/>
    </xf>
    <xf numFmtId="0" fontId="83" fillId="29" borderId="0" xfId="0" applyFont="1" applyFill="1" applyAlignment="1">
      <alignment wrapText="1"/>
    </xf>
    <xf numFmtId="0" fontId="15" fillId="30" borderId="0" xfId="0" applyFont="1" applyFill="1" applyAlignment="1">
      <alignment horizontal="center" wrapText="1"/>
    </xf>
    <xf numFmtId="3" fontId="15" fillId="30" borderId="18" xfId="0" applyNumberFormat="1" applyFont="1" applyFill="1" applyBorder="1" applyAlignment="1">
      <alignment horizontal="center" wrapText="1"/>
    </xf>
    <xf numFmtId="3" fontId="46" fillId="30" borderId="0" xfId="0" applyNumberFormat="1" applyFont="1" applyFill="1" applyAlignment="1">
      <alignment horizontal="center" wrapText="1"/>
    </xf>
    <xf numFmtId="3" fontId="15" fillId="30" borderId="21" xfId="0" applyNumberFormat="1" applyFont="1" applyFill="1" applyBorder="1" applyAlignment="1">
      <alignment horizontal="center" wrapText="1"/>
    </xf>
    <xf numFmtId="3" fontId="84" fillId="30" borderId="0" xfId="0" applyNumberFormat="1" applyFont="1" applyFill="1" applyAlignment="1">
      <alignment horizontal="center" wrapText="1"/>
    </xf>
    <xf numFmtId="3" fontId="84" fillId="30" borderId="18" xfId="0" applyNumberFormat="1" applyFont="1" applyFill="1" applyBorder="1" applyAlignment="1">
      <alignment horizontal="center" wrapText="1"/>
    </xf>
    <xf numFmtId="4" fontId="84" fillId="30" borderId="18" xfId="0" applyNumberFormat="1" applyFont="1" applyFill="1" applyBorder="1" applyAlignment="1">
      <alignment horizontal="center" wrapText="1"/>
    </xf>
    <xf numFmtId="3" fontId="84" fillId="30" borderId="21" xfId="0" applyNumberFormat="1" applyFont="1" applyFill="1" applyBorder="1" applyAlignment="1">
      <alignment horizontal="center" wrapText="1"/>
    </xf>
    <xf numFmtId="0" fontId="37" fillId="33" borderId="0" xfId="0" applyFont="1" applyFill="1"/>
    <xf numFmtId="0" fontId="37" fillId="33" borderId="0" xfId="0" applyFont="1" applyFill="1" applyAlignment="1">
      <alignment horizontal="center" vertical="center"/>
    </xf>
    <xf numFmtId="0" fontId="4" fillId="33" borderId="0" xfId="0" applyFont="1" applyFill="1"/>
    <xf numFmtId="0" fontId="39" fillId="33" borderId="0" xfId="0" applyFont="1" applyFill="1" applyAlignment="1">
      <alignment horizontal="left" vertical="center"/>
    </xf>
    <xf numFmtId="0" fontId="71" fillId="33" borderId="0" xfId="0" applyFont="1" applyFill="1"/>
    <xf numFmtId="2" fontId="15" fillId="33" borderId="0" xfId="0" applyNumberFormat="1" applyFont="1" applyFill="1" applyAlignment="1">
      <alignment horizontal="center"/>
    </xf>
    <xf numFmtId="0" fontId="28" fillId="33" borderId="0" xfId="0" applyFont="1" applyFill="1" applyAlignment="1">
      <alignment horizontal="left" vertical="center" wrapText="1"/>
    </xf>
    <xf numFmtId="0" fontId="15" fillId="33" borderId="0" xfId="0" applyFont="1" applyFill="1" applyAlignment="1">
      <alignment vertical="center"/>
    </xf>
    <xf numFmtId="164" fontId="15" fillId="33" borderId="0" xfId="0" applyNumberFormat="1" applyFont="1" applyFill="1" applyAlignment="1">
      <alignment horizontal="center" vertical="center" wrapText="1"/>
    </xf>
    <xf numFmtId="164" fontId="15" fillId="33" borderId="0" xfId="0" applyNumberFormat="1" applyFont="1" applyFill="1" applyAlignment="1">
      <alignment horizontal="center" wrapText="1"/>
    </xf>
    <xf numFmtId="164" fontId="15" fillId="33" borderId="0" xfId="0" applyNumberFormat="1" applyFont="1" applyFill="1" applyAlignment="1">
      <alignment horizontal="center"/>
    </xf>
    <xf numFmtId="0" fontId="5" fillId="33" borderId="0" xfId="0" applyFont="1" applyFill="1"/>
    <xf numFmtId="0" fontId="40" fillId="33" borderId="0" xfId="0" applyFont="1" applyFill="1" applyAlignment="1">
      <alignment horizontal="left" vertical="center"/>
    </xf>
    <xf numFmtId="0" fontId="40" fillId="33" borderId="0" xfId="0" applyFont="1" applyFill="1" applyAlignment="1">
      <alignment vertical="center"/>
    </xf>
    <xf numFmtId="0" fontId="5" fillId="33" borderId="0" xfId="0" applyFont="1" applyFill="1" applyAlignment="1">
      <alignment wrapText="1"/>
    </xf>
    <xf numFmtId="0" fontId="44" fillId="33" borderId="0" xfId="0" applyFont="1" applyFill="1"/>
    <xf numFmtId="0" fontId="82" fillId="33" borderId="0" xfId="0" applyFont="1" applyFill="1" applyAlignment="1">
      <alignment horizontal="center" wrapText="1"/>
    </xf>
    <xf numFmtId="0" fontId="82" fillId="33" borderId="20" xfId="0" applyFont="1" applyFill="1" applyBorder="1" applyAlignment="1">
      <alignment horizontal="center" wrapText="1"/>
    </xf>
    <xf numFmtId="0" fontId="44" fillId="33" borderId="20" xfId="0" applyFont="1" applyFill="1" applyBorder="1" applyAlignment="1">
      <alignment horizontal="center"/>
    </xf>
    <xf numFmtId="0" fontId="33" fillId="33" borderId="0" xfId="0" applyFont="1" applyFill="1"/>
    <xf numFmtId="3" fontId="83" fillId="33" borderId="0" xfId="0" applyNumberFormat="1" applyFont="1" applyFill="1" applyAlignment="1">
      <alignment horizontal="center" wrapText="1"/>
    </xf>
    <xf numFmtId="3" fontId="33" fillId="33" borderId="0" xfId="0" applyNumberFormat="1" applyFont="1" applyFill="1" applyAlignment="1">
      <alignment horizontal="center"/>
    </xf>
    <xf numFmtId="3" fontId="83" fillId="33" borderId="0" xfId="0" applyNumberFormat="1" applyFont="1" applyFill="1" applyAlignment="1">
      <alignment wrapText="1"/>
    </xf>
    <xf numFmtId="0" fontId="83" fillId="33" borderId="0" xfId="0" applyFont="1" applyFill="1" applyAlignment="1">
      <alignment wrapText="1"/>
    </xf>
    <xf numFmtId="3" fontId="33" fillId="33" borderId="0" xfId="0" applyNumberFormat="1" applyFont="1" applyFill="1" applyAlignment="1">
      <alignment horizontal="center" wrapText="1"/>
    </xf>
    <xf numFmtId="0" fontId="37" fillId="34" borderId="0" xfId="0" applyFont="1" applyFill="1"/>
    <xf numFmtId="0" fontId="37" fillId="34" borderId="0" xfId="0" applyFont="1" applyFill="1" applyAlignment="1">
      <alignment horizontal="center" vertical="center"/>
    </xf>
    <xf numFmtId="0" fontId="4" fillId="34" borderId="0" xfId="0" applyFont="1" applyFill="1"/>
    <xf numFmtId="0" fontId="39" fillId="34" borderId="0" xfId="0" applyFont="1" applyFill="1" applyAlignment="1">
      <alignment horizontal="left" vertical="center"/>
    </xf>
    <xf numFmtId="0" fontId="71" fillId="34" borderId="0" xfId="0" applyFont="1" applyFill="1"/>
    <xf numFmtId="2" fontId="15" fillId="34" borderId="0" xfId="0" applyNumberFormat="1" applyFont="1" applyFill="1" applyAlignment="1">
      <alignment horizontal="center"/>
    </xf>
    <xf numFmtId="0" fontId="28" fillId="34" borderId="0" xfId="0" applyFont="1" applyFill="1" applyAlignment="1">
      <alignment horizontal="left" vertical="center" wrapText="1"/>
    </xf>
    <xf numFmtId="0" fontId="15" fillId="34" borderId="0" xfId="0" applyFont="1" applyFill="1" applyAlignment="1">
      <alignment vertical="center"/>
    </xf>
    <xf numFmtId="164" fontId="15" fillId="34" borderId="0" xfId="0" applyNumberFormat="1" applyFont="1" applyFill="1" applyAlignment="1">
      <alignment horizontal="center" vertical="center" wrapText="1"/>
    </xf>
    <xf numFmtId="164" fontId="15" fillId="34" borderId="0" xfId="0" applyNumberFormat="1" applyFont="1" applyFill="1" applyAlignment="1">
      <alignment horizontal="center" wrapText="1"/>
    </xf>
    <xf numFmtId="164" fontId="15" fillId="34" borderId="0" xfId="0" applyNumberFormat="1" applyFont="1" applyFill="1" applyAlignment="1">
      <alignment horizontal="center"/>
    </xf>
    <xf numFmtId="0" fontId="5" fillId="34" borderId="0" xfId="0" applyFont="1" applyFill="1"/>
    <xf numFmtId="0" fontId="40" fillId="34" borderId="0" xfId="0" applyFont="1" applyFill="1" applyAlignment="1">
      <alignment horizontal="left" vertical="center"/>
    </xf>
    <xf numFmtId="0" fontId="40" fillId="34" borderId="0" xfId="0" applyFont="1" applyFill="1" applyAlignment="1">
      <alignment vertical="center"/>
    </xf>
    <xf numFmtId="0" fontId="5" fillId="34" borderId="0" xfId="0" applyFont="1" applyFill="1" applyAlignment="1">
      <alignment wrapText="1"/>
    </xf>
    <xf numFmtId="0" fontId="44" fillId="34" borderId="0" xfId="0" applyFont="1" applyFill="1"/>
    <xf numFmtId="0" fontId="82" fillId="34" borderId="0" xfId="0" applyFont="1" applyFill="1" applyAlignment="1">
      <alignment horizontal="center" wrapText="1"/>
    </xf>
    <xf numFmtId="0" fontId="82" fillId="34" borderId="20" xfId="0" applyFont="1" applyFill="1" applyBorder="1" applyAlignment="1">
      <alignment horizontal="center" wrapText="1"/>
    </xf>
    <xf numFmtId="0" fontId="44" fillId="34" borderId="20" xfId="0" applyFont="1" applyFill="1" applyBorder="1" applyAlignment="1">
      <alignment horizontal="center"/>
    </xf>
    <xf numFmtId="0" fontId="33" fillId="34" borderId="0" xfId="0" applyFont="1" applyFill="1"/>
    <xf numFmtId="3" fontId="83" fillId="34" borderId="0" xfId="0" applyNumberFormat="1" applyFont="1" applyFill="1" applyAlignment="1">
      <alignment horizontal="center" wrapText="1"/>
    </xf>
    <xf numFmtId="3" fontId="33" fillId="34" borderId="0" xfId="0" applyNumberFormat="1" applyFont="1" applyFill="1" applyAlignment="1">
      <alignment horizontal="center"/>
    </xf>
    <xf numFmtId="3" fontId="83" fillId="34" borderId="0" xfId="0" applyNumberFormat="1" applyFont="1" applyFill="1" applyAlignment="1">
      <alignment wrapText="1"/>
    </xf>
    <xf numFmtId="0" fontId="83" fillId="34" borderId="0" xfId="0" applyFont="1" applyFill="1" applyAlignment="1">
      <alignment wrapText="1"/>
    </xf>
    <xf numFmtId="3" fontId="33" fillId="34" borderId="0" xfId="0" applyNumberFormat="1" applyFont="1" applyFill="1" applyAlignment="1">
      <alignment horizontal="center" wrapText="1"/>
    </xf>
    <xf numFmtId="0" fontId="86" fillId="27" borderId="0" xfId="55" applyFont="1" applyFill="1"/>
    <xf numFmtId="0" fontId="86" fillId="27" borderId="0" xfId="0" applyFont="1" applyFill="1"/>
    <xf numFmtId="0" fontId="87" fillId="27" borderId="0" xfId="0" applyFont="1" applyFill="1"/>
    <xf numFmtId="0" fontId="88" fillId="27" borderId="0" xfId="55" applyFont="1" applyFill="1" applyAlignment="1">
      <alignment horizontal="left" wrapText="1"/>
    </xf>
    <xf numFmtId="0" fontId="88" fillId="27" borderId="0" xfId="55" applyFont="1" applyFill="1"/>
    <xf numFmtId="0" fontId="60" fillId="27" borderId="9" xfId="55" applyFont="1" applyFill="1" applyBorder="1" applyAlignment="1">
      <alignment horizontal="right"/>
    </xf>
    <xf numFmtId="0" fontId="52" fillId="27" borderId="0" xfId="55" applyFont="1" applyFill="1" applyAlignment="1">
      <alignment wrapText="1"/>
    </xf>
    <xf numFmtId="0" fontId="88" fillId="27" borderId="0" xfId="55" applyFont="1" applyFill="1" applyAlignment="1">
      <alignment vertical="top" wrapText="1"/>
    </xf>
    <xf numFmtId="0" fontId="52" fillId="27" borderId="0" xfId="0" applyFont="1" applyFill="1" applyAlignment="1">
      <alignment vertical="center"/>
    </xf>
    <xf numFmtId="0" fontId="63" fillId="27" borderId="0" xfId="31" applyFont="1" applyFill="1" applyAlignment="1" applyProtection="1">
      <alignment horizontal="left" vertical="center"/>
    </xf>
    <xf numFmtId="0" fontId="52" fillId="27" borderId="24" xfId="0" applyFont="1" applyFill="1" applyBorder="1" applyAlignment="1">
      <alignment vertical="center"/>
    </xf>
    <xf numFmtId="0" fontId="54" fillId="0" borderId="32" xfId="60" applyFont="1" applyBorder="1" applyAlignment="1">
      <alignment horizontal="center"/>
    </xf>
    <xf numFmtId="0" fontId="54" fillId="0" borderId="0" xfId="60" applyFont="1" applyAlignment="1">
      <alignment horizontal="center"/>
    </xf>
    <xf numFmtId="0" fontId="54" fillId="0" borderId="34" xfId="60" applyFont="1" applyBorder="1" applyAlignment="1">
      <alignment horizontal="center"/>
    </xf>
    <xf numFmtId="0" fontId="52" fillId="0" borderId="29" xfId="60" applyFont="1" applyBorder="1" applyAlignment="1">
      <alignment horizontal="center"/>
    </xf>
    <xf numFmtId="0" fontId="52" fillId="0" borderId="0" xfId="60" applyFont="1" applyAlignment="1">
      <alignment horizontal="center"/>
    </xf>
    <xf numFmtId="0" fontId="52" fillId="27" borderId="42" xfId="0" applyFont="1" applyFill="1" applyBorder="1" applyAlignment="1">
      <alignment horizontal="center"/>
    </xf>
    <xf numFmtId="0" fontId="52" fillId="0" borderId="28" xfId="60" applyFont="1" applyBorder="1" applyAlignment="1">
      <alignment horizontal="center"/>
    </xf>
    <xf numFmtId="0" fontId="52" fillId="0" borderId="18" xfId="60" applyFont="1" applyBorder="1" applyAlignment="1">
      <alignment horizontal="center"/>
    </xf>
    <xf numFmtId="0" fontId="52" fillId="27" borderId="39" xfId="0" applyFont="1" applyFill="1" applyBorder="1" applyAlignment="1">
      <alignment horizontal="center"/>
    </xf>
    <xf numFmtId="0" fontId="52" fillId="27" borderId="40" xfId="0" applyFont="1" applyFill="1" applyBorder="1" applyAlignment="1">
      <alignment horizontal="center"/>
    </xf>
    <xf numFmtId="1" fontId="52" fillId="0" borderId="29" xfId="60" applyNumberFormat="1" applyFont="1" applyBorder="1" applyAlignment="1">
      <alignment horizontal="center"/>
    </xf>
    <xf numFmtId="1" fontId="52" fillId="0" borderId="0" xfId="60" applyNumberFormat="1" applyFont="1" applyAlignment="1">
      <alignment horizontal="center"/>
    </xf>
    <xf numFmtId="1" fontId="52" fillId="0" borderId="38" xfId="60" applyNumberFormat="1" applyFont="1" applyBorder="1" applyAlignment="1">
      <alignment horizontal="center"/>
    </xf>
    <xf numFmtId="1" fontId="52" fillId="27" borderId="38" xfId="0" applyNumberFormat="1" applyFont="1" applyFill="1" applyBorder="1" applyAlignment="1">
      <alignment horizontal="center"/>
    </xf>
    <xf numFmtId="1" fontId="52" fillId="0" borderId="28" xfId="60" applyNumberFormat="1" applyFont="1" applyBorder="1" applyAlignment="1">
      <alignment horizontal="center"/>
    </xf>
    <xf numFmtId="1" fontId="52" fillId="0" borderId="18" xfId="60" applyNumberFormat="1" applyFont="1" applyBorder="1" applyAlignment="1">
      <alignment horizontal="center"/>
    </xf>
    <xf numFmtId="1" fontId="52" fillId="27" borderId="39" xfId="0" applyNumberFormat="1" applyFont="1" applyFill="1" applyBorder="1" applyAlignment="1">
      <alignment horizontal="center"/>
    </xf>
    <xf numFmtId="0" fontId="53" fillId="0" borderId="29" xfId="60" applyFont="1" applyBorder="1" applyAlignment="1">
      <alignment horizontal="center"/>
    </xf>
    <xf numFmtId="0" fontId="53" fillId="0" borderId="0" xfId="60" applyFont="1" applyAlignment="1">
      <alignment horizontal="center"/>
    </xf>
    <xf numFmtId="0" fontId="53" fillId="0" borderId="28" xfId="60" applyFont="1" applyBorder="1" applyAlignment="1">
      <alignment horizontal="center"/>
    </xf>
    <xf numFmtId="0" fontId="53" fillId="0" borderId="18" xfId="60" applyFont="1" applyBorder="1" applyAlignment="1">
      <alignment horizontal="center"/>
    </xf>
    <xf numFmtId="0" fontId="57" fillId="0" borderId="9" xfId="60" applyFont="1" applyBorder="1"/>
    <xf numFmtId="0" fontId="57" fillId="0" borderId="9" xfId="60" applyFont="1" applyBorder="1" applyAlignment="1">
      <alignment horizontal="center" vertical="center"/>
    </xf>
    <xf numFmtId="0" fontId="57" fillId="0" borderId="9" xfId="60" applyFont="1" applyBorder="1" applyAlignment="1">
      <alignment horizontal="center" vertical="center" wrapText="1"/>
    </xf>
    <xf numFmtId="0" fontId="57" fillId="0" borderId="0" xfId="60" applyFont="1" applyAlignment="1">
      <alignment vertical="center"/>
    </xf>
    <xf numFmtId="0" fontId="57" fillId="0" borderId="33" xfId="60" applyFont="1" applyBorder="1" applyAlignment="1">
      <alignment vertical="center" wrapText="1"/>
    </xf>
    <xf numFmtId="0" fontId="57" fillId="0" borderId="0" xfId="60" applyFont="1" applyAlignment="1">
      <alignment horizontal="center" vertical="center" wrapText="1"/>
    </xf>
    <xf numFmtId="1" fontId="53" fillId="0" borderId="31" xfId="60" applyNumberFormat="1" applyFont="1" applyBorder="1" applyAlignment="1">
      <alignment horizontal="center"/>
    </xf>
    <xf numFmtId="0" fontId="53" fillId="0" borderId="18" xfId="60" applyFont="1" applyBorder="1"/>
    <xf numFmtId="1" fontId="53" fillId="0" borderId="30" xfId="60" applyNumberFormat="1" applyFont="1" applyBorder="1" applyAlignment="1">
      <alignment horizontal="center"/>
    </xf>
    <xf numFmtId="1" fontId="53" fillId="0" borderId="33" xfId="60" applyNumberFormat="1" applyFont="1" applyBorder="1" applyAlignment="1">
      <alignment horizontal="center"/>
    </xf>
    <xf numFmtId="0" fontId="53" fillId="0" borderId="0" xfId="60" applyFont="1" applyAlignment="1">
      <alignment wrapText="1"/>
    </xf>
    <xf numFmtId="1" fontId="53" fillId="0" borderId="31" xfId="60" applyNumberFormat="1" applyFont="1" applyBorder="1" applyAlignment="1">
      <alignment horizontal="center" wrapText="1"/>
    </xf>
    <xf numFmtId="0" fontId="54" fillId="0" borderId="0" xfId="60" applyFont="1"/>
    <xf numFmtId="0" fontId="54" fillId="0" borderId="0" xfId="60" applyFont="1" applyAlignment="1">
      <alignment horizontal="left"/>
    </xf>
    <xf numFmtId="0" fontId="53" fillId="27" borderId="0" xfId="60" applyFont="1" applyFill="1"/>
    <xf numFmtId="0" fontId="66" fillId="27" borderId="0" xfId="31" applyFont="1" applyFill="1" applyAlignment="1" applyProtection="1">
      <alignment horizontal="left"/>
    </xf>
    <xf numFmtId="0" fontId="52" fillId="27" borderId="0" xfId="31" applyFont="1" applyFill="1" applyAlignment="1" applyProtection="1"/>
    <xf numFmtId="0" fontId="80" fillId="27" borderId="0" xfId="55" applyFont="1" applyFill="1" applyAlignment="1">
      <alignment vertical="top"/>
    </xf>
    <xf numFmtId="0" fontId="57" fillId="0" borderId="0" xfId="58" applyFont="1"/>
    <xf numFmtId="0" fontId="53" fillId="0" borderId="0" xfId="58" applyFont="1" applyAlignment="1">
      <alignment horizontal="center"/>
    </xf>
    <xf numFmtId="0" fontId="53" fillId="0" borderId="0" xfId="58" applyFont="1" applyAlignment="1">
      <alignment horizontal="right"/>
    </xf>
    <xf numFmtId="2" fontId="53" fillId="0" borderId="0" xfId="58" applyNumberFormat="1" applyFont="1" applyAlignment="1">
      <alignment horizontal="center"/>
    </xf>
    <xf numFmtId="0" fontId="57" fillId="0" borderId="33" xfId="60" applyFont="1" applyBorder="1"/>
    <xf numFmtId="0" fontId="57" fillId="0" borderId="31" xfId="60" applyFont="1" applyBorder="1"/>
    <xf numFmtId="0" fontId="54" fillId="0" borderId="31" xfId="60" applyFont="1" applyBorder="1" applyAlignment="1">
      <alignment vertical="top" wrapText="1"/>
    </xf>
    <xf numFmtId="0" fontId="53" fillId="0" borderId="31" xfId="60" applyFont="1" applyBorder="1"/>
    <xf numFmtId="0" fontId="53" fillId="0" borderId="30" xfId="60" applyFont="1" applyBorder="1"/>
    <xf numFmtId="0" fontId="52" fillId="0" borderId="31" xfId="0" applyFont="1" applyBorder="1"/>
    <xf numFmtId="0" fontId="93" fillId="30" borderId="0" xfId="0" applyFont="1" applyFill="1"/>
    <xf numFmtId="0" fontId="94" fillId="30" borderId="0" xfId="0" applyFont="1" applyFill="1"/>
    <xf numFmtId="0" fontId="95" fillId="27" borderId="9" xfId="0" applyFont="1" applyFill="1" applyBorder="1" applyAlignment="1">
      <alignment horizontal="left"/>
    </xf>
    <xf numFmtId="2" fontId="46" fillId="27" borderId="9" xfId="0" applyNumberFormat="1" applyFont="1" applyFill="1" applyBorder="1" applyAlignment="1" applyProtection="1">
      <alignment horizontal="center"/>
      <protection locked="0"/>
    </xf>
    <xf numFmtId="2" fontId="46" fillId="27" borderId="9" xfId="0" applyNumberFormat="1" applyFont="1" applyFill="1" applyBorder="1"/>
    <xf numFmtId="2" fontId="46" fillId="27" borderId="9" xfId="0" applyNumberFormat="1" applyFont="1" applyFill="1" applyBorder="1" applyAlignment="1">
      <alignment horizontal="left"/>
    </xf>
    <xf numFmtId="0" fontId="93" fillId="0" borderId="9" xfId="0" applyFont="1" applyBorder="1" applyAlignment="1">
      <alignment horizontal="center"/>
    </xf>
    <xf numFmtId="2" fontId="96" fillId="30" borderId="0" xfId="0" applyNumberFormat="1" applyFont="1" applyFill="1" applyAlignment="1">
      <alignment horizontal="center"/>
    </xf>
    <xf numFmtId="0" fontId="97" fillId="30" borderId="0" xfId="0" applyFont="1" applyFill="1"/>
    <xf numFmtId="0" fontId="97" fillId="30" borderId="0" xfId="0" applyFont="1" applyFill="1" applyAlignment="1">
      <alignment horizontal="left"/>
    </xf>
    <xf numFmtId="0" fontId="8" fillId="30" borderId="0" xfId="0" applyFont="1" applyFill="1"/>
    <xf numFmtId="3" fontId="15" fillId="27" borderId="9" xfId="0" applyNumberFormat="1" applyFont="1" applyFill="1" applyBorder="1" applyAlignment="1">
      <alignment horizontal="center"/>
    </xf>
    <xf numFmtId="0" fontId="52" fillId="26" borderId="0" xfId="55" applyFont="1" applyFill="1"/>
    <xf numFmtId="0" fontId="80" fillId="27" borderId="0" xfId="55" applyFont="1" applyFill="1" applyAlignment="1">
      <alignment horizontal="left" vertical="top" wrapText="1"/>
    </xf>
    <xf numFmtId="0" fontId="38" fillId="27" borderId="0" xfId="55" applyFont="1" applyFill="1" applyAlignment="1">
      <alignment horizontal="left"/>
    </xf>
    <xf numFmtId="0" fontId="59" fillId="27" borderId="0" xfId="31" applyFont="1" applyFill="1" applyAlignment="1" applyProtection="1">
      <alignment wrapText="1"/>
    </xf>
    <xf numFmtId="0" fontId="52" fillId="0" borderId="0" xfId="55" applyFont="1" applyAlignment="1">
      <alignment wrapText="1"/>
    </xf>
    <xf numFmtId="0" fontId="65" fillId="27" borderId="0" xfId="55" applyFont="1" applyFill="1" applyAlignment="1">
      <alignment horizontal="left" vertical="top" wrapText="1"/>
    </xf>
    <xf numFmtId="0" fontId="52" fillId="27" borderId="0" xfId="55" applyFont="1" applyFill="1" applyAlignment="1">
      <alignment horizontal="left" vertical="top" wrapText="1"/>
    </xf>
    <xf numFmtId="0" fontId="52" fillId="27" borderId="0" xfId="55" applyFont="1" applyFill="1" applyAlignment="1">
      <alignment horizontal="left" wrapText="1"/>
    </xf>
    <xf numFmtId="0" fontId="52" fillId="27" borderId="0" xfId="31" applyFont="1" applyFill="1" applyAlignment="1" applyProtection="1">
      <alignment horizontal="left" vertical="top" wrapText="1"/>
    </xf>
    <xf numFmtId="0" fontId="88" fillId="27" borderId="0" xfId="55" applyFont="1" applyFill="1" applyAlignment="1">
      <alignment horizontal="left" vertical="top" wrapText="1"/>
    </xf>
    <xf numFmtId="0" fontId="52" fillId="0" borderId="0" xfId="55" applyFont="1" applyAlignment="1">
      <alignment horizontal="left" vertical="top" wrapText="1"/>
    </xf>
    <xf numFmtId="0" fontId="52" fillId="0" borderId="0" xfId="55" applyFont="1"/>
    <xf numFmtId="0" fontId="48" fillId="27" borderId="0" xfId="55" applyFont="1" applyFill="1" applyAlignment="1">
      <alignment horizontal="left" vertical="top" wrapText="1"/>
    </xf>
    <xf numFmtId="0" fontId="52" fillId="27" borderId="0" xfId="55" applyFont="1" applyFill="1" applyAlignment="1">
      <alignment horizontal="left" vertical="center" wrapText="1"/>
    </xf>
    <xf numFmtId="0" fontId="60" fillId="27" borderId="0" xfId="55" applyFont="1" applyFill="1" applyAlignment="1">
      <alignment horizontal="left" vertical="top" wrapText="1"/>
    </xf>
    <xf numFmtId="0" fontId="15" fillId="30" borderId="0" xfId="0" applyFont="1" applyFill="1" applyAlignment="1">
      <alignment horizontal="left"/>
    </xf>
    <xf numFmtId="0" fontId="15" fillId="30" borderId="29" xfId="0" applyFont="1" applyFill="1" applyBorder="1" applyAlignment="1">
      <alignment horizontal="left"/>
    </xf>
    <xf numFmtId="0" fontId="46" fillId="30" borderId="29" xfId="0" applyFont="1" applyFill="1" applyBorder="1" applyAlignment="1">
      <alignment horizontal="left"/>
    </xf>
    <xf numFmtId="0" fontId="46" fillId="30" borderId="0" xfId="0" applyFont="1" applyFill="1" applyAlignment="1">
      <alignment horizontal="left"/>
    </xf>
    <xf numFmtId="0" fontId="37" fillId="26" borderId="0" xfId="31" applyFont="1" applyFill="1" applyAlignment="1" applyProtection="1">
      <alignment horizontal="center" vertical="center"/>
    </xf>
    <xf numFmtId="0" fontId="37" fillId="26" borderId="0" xfId="0" applyFont="1" applyFill="1" applyAlignment="1">
      <alignment horizontal="center" vertical="center"/>
    </xf>
    <xf numFmtId="0" fontId="15" fillId="30" borderId="0" xfId="0" applyFont="1" applyFill="1" applyAlignment="1">
      <alignment horizontal="center"/>
    </xf>
    <xf numFmtId="0" fontId="28" fillId="30" borderId="0" xfId="0" applyFont="1" applyFill="1" applyAlignment="1">
      <alignment horizontal="left"/>
    </xf>
    <xf numFmtId="0" fontId="34" fillId="30" borderId="0" xfId="0" applyFont="1" applyFill="1" applyAlignment="1">
      <alignment horizontal="left"/>
    </xf>
    <xf numFmtId="0" fontId="67" fillId="30" borderId="0" xfId="0" applyFont="1" applyFill="1" applyAlignment="1">
      <alignment horizontal="right"/>
    </xf>
    <xf numFmtId="0" fontId="55" fillId="27" borderId="9" xfId="0" applyFont="1" applyFill="1" applyBorder="1" applyAlignment="1" applyProtection="1">
      <alignment horizontal="left"/>
      <protection locked="0"/>
    </xf>
    <xf numFmtId="49" fontId="55" fillId="27" borderId="9" xfId="0" applyNumberFormat="1" applyFont="1" applyFill="1" applyBorder="1" applyAlignment="1" applyProtection="1">
      <alignment horizontal="left"/>
      <protection locked="0"/>
    </xf>
    <xf numFmtId="0" fontId="58" fillId="30" borderId="0" xfId="0" applyFont="1" applyFill="1" applyAlignment="1">
      <alignment horizontal="left"/>
    </xf>
    <xf numFmtId="0" fontId="48" fillId="30" borderId="0" xfId="0" applyFont="1" applyFill="1" applyAlignment="1">
      <alignment horizontal="left"/>
    </xf>
    <xf numFmtId="0" fontId="67" fillId="30" borderId="0" xfId="0" applyFont="1" applyFill="1" applyAlignment="1">
      <alignment horizontal="left"/>
    </xf>
    <xf numFmtId="0" fontId="32" fillId="30" borderId="18" xfId="0" applyFont="1" applyFill="1" applyBorder="1" applyAlignment="1">
      <alignment horizontal="left"/>
    </xf>
    <xf numFmtId="0" fontId="37" fillId="26" borderId="22" xfId="0" applyFont="1" applyFill="1" applyBorder="1" applyAlignment="1">
      <alignment horizontal="left" vertical="center" wrapText="1"/>
    </xf>
    <xf numFmtId="0" fontId="15" fillId="30" borderId="18" xfId="0" applyFont="1" applyFill="1" applyBorder="1" applyAlignment="1">
      <alignment horizontal="center"/>
    </xf>
    <xf numFmtId="0" fontId="28" fillId="30" borderId="0" xfId="0" applyFont="1" applyFill="1" applyAlignment="1">
      <alignment horizontal="center" vertical="center" wrapText="1"/>
    </xf>
    <xf numFmtId="0" fontId="50" fillId="30" borderId="0" xfId="0" applyFont="1" applyFill="1" applyAlignment="1">
      <alignment horizontal="left" vertical="center" wrapText="1"/>
    </xf>
    <xf numFmtId="0" fontId="44" fillId="26" borderId="0" xfId="0" applyFont="1" applyFill="1" applyAlignment="1">
      <alignment horizontal="left"/>
    </xf>
    <xf numFmtId="0" fontId="33" fillId="26" borderId="0" xfId="0" applyFont="1" applyFill="1" applyAlignment="1">
      <alignment horizontal="left"/>
    </xf>
    <xf numFmtId="0" fontId="28" fillId="30" borderId="0" xfId="0" applyFont="1" applyFill="1" applyAlignment="1">
      <alignment horizontal="center"/>
    </xf>
    <xf numFmtId="3" fontId="46" fillId="30" borderId="29" xfId="0" applyNumberFormat="1" applyFont="1" applyFill="1" applyBorder="1" applyAlignment="1">
      <alignment horizontal="left"/>
    </xf>
    <xf numFmtId="0" fontId="28" fillId="30" borderId="28" xfId="0" applyFont="1" applyFill="1" applyBorder="1" applyAlignment="1">
      <alignment horizontal="left"/>
    </xf>
    <xf numFmtId="0" fontId="28" fillId="30" borderId="18" xfId="0" applyFont="1" applyFill="1" applyBorder="1" applyAlignment="1">
      <alignment horizontal="left"/>
    </xf>
    <xf numFmtId="0" fontId="33" fillId="29" borderId="0" xfId="0" applyFont="1" applyFill="1" applyAlignment="1">
      <alignment horizontal="left"/>
    </xf>
    <xf numFmtId="0" fontId="37" fillId="29" borderId="22" xfId="0" applyFont="1" applyFill="1" applyBorder="1" applyAlignment="1">
      <alignment horizontal="left" vertical="center" wrapText="1"/>
    </xf>
    <xf numFmtId="0" fontId="44" fillId="29" borderId="0" xfId="0" applyFont="1" applyFill="1" applyAlignment="1">
      <alignment horizontal="left"/>
    </xf>
    <xf numFmtId="0" fontId="33" fillId="33" borderId="0" xfId="0" applyFont="1" applyFill="1" applyAlignment="1">
      <alignment horizontal="left"/>
    </xf>
    <xf numFmtId="0" fontId="37" fillId="33" borderId="22" xfId="0" applyFont="1" applyFill="1" applyBorder="1" applyAlignment="1">
      <alignment horizontal="left" vertical="center" wrapText="1"/>
    </xf>
    <xf numFmtId="0" fontId="44" fillId="33" borderId="0" xfId="0" applyFont="1" applyFill="1" applyAlignment="1">
      <alignment horizontal="left"/>
    </xf>
    <xf numFmtId="0" fontId="33" fillId="34" borderId="0" xfId="0" applyFont="1" applyFill="1" applyAlignment="1">
      <alignment horizontal="left"/>
    </xf>
    <xf numFmtId="0" fontId="37" fillId="34" borderId="22" xfId="0" applyFont="1" applyFill="1" applyBorder="1" applyAlignment="1">
      <alignment horizontal="left" vertical="center" wrapText="1"/>
    </xf>
    <xf numFmtId="0" fontId="44" fillId="34" borderId="0" xfId="0" applyFont="1" applyFill="1" applyAlignment="1">
      <alignment horizontal="left"/>
    </xf>
    <xf numFmtId="0" fontId="52" fillId="27" borderId="21" xfId="0" applyFont="1" applyFill="1" applyBorder="1" applyAlignment="1">
      <alignment horizontal="left" vertical="center" wrapText="1"/>
    </xf>
    <xf numFmtId="0" fontId="52" fillId="27" borderId="21" xfId="0" applyFont="1" applyFill="1" applyBorder="1" applyAlignment="1">
      <alignment horizontal="left" vertical="top" wrapText="1"/>
    </xf>
    <xf numFmtId="0" fontId="52" fillId="27" borderId="21" xfId="0" applyFont="1" applyFill="1" applyBorder="1" applyAlignment="1">
      <alignment horizontal="left"/>
    </xf>
    <xf numFmtId="0" fontId="52" fillId="0" borderId="20" xfId="0" applyFont="1" applyBorder="1" applyAlignment="1">
      <alignment horizontal="left" vertical="center" wrapText="1"/>
    </xf>
    <xf numFmtId="0" fontId="52" fillId="0" borderId="21" xfId="0" applyFont="1" applyBorder="1" applyAlignment="1">
      <alignment horizontal="left" vertical="center" wrapText="1"/>
    </xf>
    <xf numFmtId="0" fontId="61" fillId="31" borderId="0" xfId="60" applyFont="1" applyFill="1"/>
    <xf numFmtId="0" fontId="62" fillId="31" borderId="0" xfId="60" applyFont="1" applyFill="1"/>
    <xf numFmtId="0" fontId="57" fillId="31" borderId="0" xfId="60" applyFont="1" applyFill="1"/>
    <xf numFmtId="0" fontId="53" fillId="31" borderId="0" xfId="60" applyFont="1" applyFill="1"/>
    <xf numFmtId="0" fontId="37" fillId="26" borderId="0" xfId="0" applyFont="1" applyFill="1"/>
    <xf numFmtId="0" fontId="52" fillId="27" borderId="0" xfId="0" applyFont="1" applyFill="1" applyAlignment="1">
      <alignment wrapText="1"/>
    </xf>
    <xf numFmtId="0" fontId="52" fillId="0" borderId="0" xfId="0" applyFont="1" applyAlignment="1">
      <alignment wrapText="1"/>
    </xf>
    <xf numFmtId="0" fontId="57" fillId="31" borderId="18" xfId="0" applyFont="1" applyFill="1" applyBorder="1" applyAlignment="1">
      <alignment horizontal="left"/>
    </xf>
    <xf numFmtId="0" fontId="52" fillId="27" borderId="21" xfId="0" applyFont="1" applyFill="1" applyBorder="1" applyAlignment="1">
      <alignment horizontal="left" wrapText="1"/>
    </xf>
    <xf numFmtId="0" fontId="54" fillId="0" borderId="31" xfId="60" applyFont="1" applyBorder="1" applyAlignment="1">
      <alignment wrapText="1"/>
    </xf>
    <xf numFmtId="0" fontId="8" fillId="0" borderId="31" xfId="0" applyFont="1" applyBorder="1" applyAlignment="1">
      <alignment wrapText="1"/>
    </xf>
    <xf numFmtId="0" fontId="64" fillId="27" borderId="0" xfId="0" applyFont="1" applyFill="1" applyAlignment="1">
      <alignment horizontal="left" vertical="top" wrapText="1"/>
    </xf>
    <xf numFmtId="0" fontId="64" fillId="27" borderId="0" xfId="0" applyFont="1" applyFill="1" applyAlignment="1">
      <alignment horizontal="left" vertical="top"/>
    </xf>
    <xf numFmtId="0" fontId="52" fillId="0" borderId="0" xfId="0" applyFont="1"/>
    <xf numFmtId="0" fontId="52" fillId="27" borderId="0" xfId="0" applyFont="1" applyFill="1" applyAlignment="1">
      <alignment horizontal="left" vertical="top" wrapText="1"/>
    </xf>
    <xf numFmtId="0" fontId="52" fillId="0" borderId="0" xfId="0" applyFont="1" applyAlignment="1">
      <alignment vertical="top" wrapText="1"/>
    </xf>
    <xf numFmtId="0" fontId="8" fillId="0" borderId="0" xfId="0" applyFont="1"/>
    <xf numFmtId="0" fontId="57" fillId="0" borderId="26" xfId="60" applyFont="1" applyBorder="1" applyAlignment="1">
      <alignment horizontal="center" vertical="center" wrapText="1"/>
    </xf>
    <xf numFmtId="0" fontId="57" fillId="0" borderId="21" xfId="60" applyFont="1" applyBorder="1" applyAlignment="1">
      <alignment horizontal="center" vertical="center" wrapText="1"/>
    </xf>
    <xf numFmtId="0" fontId="57" fillId="0" borderId="25" xfId="60" applyFont="1" applyBorder="1" applyAlignment="1">
      <alignment horizontal="center" vertical="center" wrapText="1"/>
    </xf>
    <xf numFmtId="0" fontId="54" fillId="0" borderId="31" xfId="60" applyFont="1" applyBorder="1" applyAlignment="1">
      <alignment horizontal="left" wrapText="1"/>
    </xf>
    <xf numFmtId="0" fontId="92" fillId="27" borderId="0" xfId="0" applyFont="1" applyFill="1" applyAlignment="1">
      <alignment horizontal="left" wrapText="1"/>
    </xf>
    <xf numFmtId="0" fontId="52" fillId="27" borderId="0" xfId="55" applyFont="1" applyFill="1" applyAlignment="1">
      <alignment horizontal="left"/>
    </xf>
    <xf numFmtId="0" fontId="37" fillId="26" borderId="0" xfId="55" applyFont="1" applyFill="1"/>
    <xf numFmtId="0" fontId="57" fillId="0" borderId="26" xfId="58" applyFont="1" applyBorder="1" applyAlignment="1">
      <alignment horizontal="center" vertical="center" wrapText="1"/>
    </xf>
    <xf numFmtId="0" fontId="57" fillId="0" borderId="25" xfId="58" applyFont="1" applyBorder="1" applyAlignment="1">
      <alignment horizontal="center" vertical="center" wrapText="1"/>
    </xf>
    <xf numFmtId="0" fontId="52" fillId="27" borderId="0" xfId="55" applyFont="1" applyFill="1" applyAlignment="1">
      <alignment vertical="top" wrapText="1"/>
    </xf>
    <xf numFmtId="0" fontId="52" fillId="0" borderId="27" xfId="0" applyFont="1" applyBorder="1" applyAlignment="1">
      <alignment vertical="top" wrapText="1"/>
    </xf>
    <xf numFmtId="0" fontId="52" fillId="0" borderId="27" xfId="0" applyFont="1" applyBorder="1" applyAlignment="1">
      <alignment wrapText="1"/>
    </xf>
    <xf numFmtId="0" fontId="52" fillId="27" borderId="27" xfId="31" applyFont="1" applyFill="1" applyBorder="1" applyAlignment="1" applyProtection="1">
      <alignment horizontal="left" vertical="top" wrapText="1"/>
    </xf>
    <xf numFmtId="0" fontId="90" fillId="27" borderId="0" xfId="55" applyFont="1" applyFill="1" applyAlignment="1">
      <alignment horizontal="left" vertical="top" wrapText="1"/>
    </xf>
    <xf numFmtId="0" fontId="91" fillId="27" borderId="0" xfId="31" applyFont="1" applyFill="1" applyAlignment="1" applyProtection="1">
      <alignment horizontal="left" vertical="top" wrapText="1"/>
    </xf>
    <xf numFmtId="0" fontId="57" fillId="27" borderId="0" xfId="55" applyFont="1" applyFill="1" applyAlignment="1">
      <alignment horizontal="center"/>
    </xf>
    <xf numFmtId="3" fontId="54" fillId="27" borderId="0" xfId="55" applyNumberFormat="1" applyFont="1" applyFill="1" applyAlignment="1">
      <alignment horizontal="center"/>
    </xf>
    <xf numFmtId="0" fontId="57" fillId="27" borderId="20" xfId="55" applyFont="1" applyFill="1" applyBorder="1" applyAlignment="1">
      <alignment horizontal="center"/>
    </xf>
    <xf numFmtId="0" fontId="57" fillId="27" borderId="18" xfId="55" applyFont="1" applyFill="1" applyBorder="1" applyAlignment="1">
      <alignment horizontal="left"/>
    </xf>
    <xf numFmtId="0" fontId="57" fillId="27" borderId="18" xfId="55" applyFont="1" applyFill="1" applyBorder="1" applyAlignment="1">
      <alignment horizontal="center"/>
    </xf>
    <xf numFmtId="3" fontId="54" fillId="27" borderId="18" xfId="55" applyNumberFormat="1" applyFont="1" applyFill="1" applyBorder="1" applyAlignment="1">
      <alignment horizontal="center"/>
    </xf>
    <xf numFmtId="0" fontId="52" fillId="27" borderId="0" xfId="55" applyFont="1" applyFill="1" applyAlignment="1">
      <alignment horizontal="right"/>
    </xf>
    <xf numFmtId="0" fontId="52" fillId="27" borderId="18" xfId="55" applyFont="1" applyFill="1" applyBorder="1" applyAlignment="1">
      <alignment horizontal="left"/>
    </xf>
    <xf numFmtId="49" fontId="52" fillId="27" borderId="18" xfId="55" applyNumberFormat="1" applyFont="1" applyFill="1" applyBorder="1" applyAlignment="1">
      <alignment horizontal="left"/>
    </xf>
    <xf numFmtId="0" fontId="53" fillId="27" borderId="0" xfId="55" applyFont="1" applyFill="1" applyAlignment="1">
      <alignment horizontal="right"/>
    </xf>
    <xf numFmtId="164" fontId="58" fillId="27" borderId="18" xfId="55" applyNumberFormat="1" applyFont="1" applyFill="1" applyBorder="1" applyAlignment="1" applyProtection="1">
      <alignment horizontal="left"/>
      <protection locked="0"/>
    </xf>
    <xf numFmtId="0" fontId="52" fillId="27" borderId="18" xfId="55" applyFont="1" applyFill="1" applyBorder="1" applyAlignment="1" applyProtection="1">
      <alignment horizontal="left"/>
      <protection locked="0"/>
    </xf>
    <xf numFmtId="0" fontId="58" fillId="27" borderId="21" xfId="55" applyFont="1" applyFill="1" applyBorder="1" applyAlignment="1" applyProtection="1">
      <alignment horizontal="left"/>
      <protection locked="0"/>
    </xf>
    <xf numFmtId="164" fontId="58" fillId="27" borderId="21" xfId="55" applyNumberFormat="1" applyFont="1" applyFill="1" applyBorder="1" applyAlignment="1" applyProtection="1">
      <alignment horizontal="left"/>
      <protection locked="0"/>
    </xf>
    <xf numFmtId="164" fontId="58" fillId="27" borderId="21" xfId="55" applyNumberFormat="1" applyFont="1" applyFill="1" applyBorder="1" applyAlignment="1" applyProtection="1">
      <alignment horizontal="left" vertical="center"/>
      <protection locked="0"/>
    </xf>
    <xf numFmtId="0" fontId="52" fillId="27" borderId="21" xfId="55" applyFont="1" applyFill="1" applyBorder="1" applyAlignment="1" applyProtection="1">
      <alignment horizontal="left"/>
      <protection locked="0"/>
    </xf>
  </cellXfs>
  <cellStyles count="62">
    <cellStyle name="20 % - Dekorfärg1" xfId="1" builtinId="30" customBuiltin="1"/>
    <cellStyle name="20 % - Dekorfärg2" xfId="2" builtinId="34" customBuiltin="1"/>
    <cellStyle name="20 % - Dekorfärg3" xfId="3" builtinId="38" customBuiltin="1"/>
    <cellStyle name="20 % - Dekorfärg4" xfId="4" builtinId="42" customBuiltin="1"/>
    <cellStyle name="20 % - Dekorfärg5" xfId="5" builtinId="46" customBuiltin="1"/>
    <cellStyle name="20 % - Dekorfärg6" xfId="6" builtinId="50" customBuiltin="1"/>
    <cellStyle name="40 % - Dekorfärg1" xfId="7" builtinId="31" customBuiltin="1"/>
    <cellStyle name="40 % - Dekorfärg2" xfId="8" builtinId="35" customBuiltin="1"/>
    <cellStyle name="40 % - Dekorfärg3" xfId="9" builtinId="39" customBuiltin="1"/>
    <cellStyle name="40 % - Dekorfärg4" xfId="10" builtinId="43" customBuiltin="1"/>
    <cellStyle name="40 % - Dekorfärg5" xfId="11" builtinId="47" customBuiltin="1"/>
    <cellStyle name="40 % - Dekorfärg6" xfId="12" builtinId="51" customBuiltin="1"/>
    <cellStyle name="60 % - Dekorfärg1" xfId="13" builtinId="32" customBuiltin="1"/>
    <cellStyle name="60 % - Dekorfärg2" xfId="14" builtinId="36" customBuiltin="1"/>
    <cellStyle name="60 % - Dekorfärg3" xfId="15" builtinId="40" customBuiltin="1"/>
    <cellStyle name="60 % - Dekorfärg4" xfId="16" builtinId="44" customBuiltin="1"/>
    <cellStyle name="60 % - Dekorfärg5" xfId="17" builtinId="48" customBuiltin="1"/>
    <cellStyle name="60 % - Dekorfärg6" xfId="18" builtinId="52" customBuiltin="1"/>
    <cellStyle name="Anteckning" xfId="19" builtinId="10" customBuiltin="1"/>
    <cellStyle name="Beräkning" xfId="20" builtinId="22" customBuiltin="1"/>
    <cellStyle name="Bra" xfId="21" builtinId="26" customBuiltin="1"/>
    <cellStyle name="Cell för ifyllnad" xfId="22" xr:uid="{00000000-0005-0000-0000-000015000000}"/>
    <cellStyle name="Dekorfärg1" xfId="24" builtinId="29" customBuiltin="1"/>
    <cellStyle name="Dekorfärg2" xfId="25" builtinId="33" customBuiltin="1"/>
    <cellStyle name="Dekorfärg3" xfId="26" builtinId="37" customBuiltin="1"/>
    <cellStyle name="Dekorfärg4" xfId="27" builtinId="41" customBuiltin="1"/>
    <cellStyle name="Dekorfärg5" xfId="28" builtinId="45" customBuiltin="1"/>
    <cellStyle name="Dekorfärg6" xfId="29" builtinId="49" customBuiltin="1"/>
    <cellStyle name="Dålig" xfId="23" builtinId="27" customBuiltin="1"/>
    <cellStyle name="Förklarande text" xfId="30" builtinId="53" customBuiltin="1"/>
    <cellStyle name="Hyperlänk" xfId="31" builtinId="8"/>
    <cellStyle name="Indata" xfId="32" builtinId="20" customBuiltin="1"/>
    <cellStyle name="Kontrollcell" xfId="33" builtinId="23" customBuiltin="1"/>
    <cellStyle name="Länkad cell" xfId="34" builtinId="24" customBuiltin="1"/>
    <cellStyle name="Neutral" xfId="35" builtinId="28" customBuiltin="1"/>
    <cellStyle name="Normal" xfId="0" builtinId="0"/>
    <cellStyle name="Normal 2" xfId="55" xr:uid="{00000000-0005-0000-0000-000024000000}"/>
    <cellStyle name="Normal 3" xfId="57" xr:uid="{00000000-0005-0000-0000-000025000000}"/>
    <cellStyle name="Normal 3 2" xfId="61" xr:uid="{D74F3D07-FB5A-4879-A259-EA53D347797C}"/>
    <cellStyle name="Normal 4" xfId="58" xr:uid="{00000000-0005-0000-0000-000026000000}"/>
    <cellStyle name="Normal 4 2" xfId="60" xr:uid="{4F340D49-2CF6-4366-93A7-8A7B1E3856EA}"/>
    <cellStyle name="Procent" xfId="54" builtinId="5"/>
    <cellStyle name="Procent 2" xfId="56" xr:uid="{00000000-0005-0000-0000-000028000000}"/>
    <cellStyle name="Rubrik" xfId="36" builtinId="15" customBuiltin="1"/>
    <cellStyle name="Rubrik 1" xfId="37" builtinId="16" customBuiltin="1"/>
    <cellStyle name="Rubrik 2" xfId="38" builtinId="17" customBuiltin="1"/>
    <cellStyle name="Rubrik 3" xfId="39" builtinId="18" customBuiltin="1"/>
    <cellStyle name="Rubrik 4" xfId="40" builtinId="19" customBuiltin="1"/>
    <cellStyle name="Rubrik 5" xfId="59" xr:uid="{00000000-0005-0000-0000-00002E000000}"/>
    <cellStyle name="Rubrik tabell mindre" xfId="41" xr:uid="{00000000-0005-0000-0000-00002F000000}"/>
    <cellStyle name="Rubrik textsida" xfId="42" xr:uid="{00000000-0005-0000-0000-000030000000}"/>
    <cellStyle name="Sum" xfId="43" xr:uid="{00000000-0005-0000-0000-000031000000}"/>
    <cellStyle name="Summa" xfId="44" builtinId="25" customBuiltin="1"/>
    <cellStyle name="Tabell" xfId="45" xr:uid="{00000000-0005-0000-0000-000033000000}"/>
    <cellStyle name="Tabell - markerad rad" xfId="46" xr:uid="{00000000-0005-0000-0000-000034000000}"/>
    <cellStyle name="Tabellrubrik nivå 2" xfId="47" xr:uid="{00000000-0005-0000-0000-000035000000}"/>
    <cellStyle name="Tabellrubrik nivå 3" xfId="48" xr:uid="{00000000-0005-0000-0000-000036000000}"/>
    <cellStyle name="Tabellsumma" xfId="49" xr:uid="{00000000-0005-0000-0000-000037000000}"/>
    <cellStyle name="Underrubrik tabell" xfId="50" xr:uid="{00000000-0005-0000-0000-000038000000}"/>
    <cellStyle name="Underrubrik textsida" xfId="51" xr:uid="{00000000-0005-0000-0000-000039000000}"/>
    <cellStyle name="Utdata" xfId="52" builtinId="21" customBuiltin="1"/>
    <cellStyle name="Varningstext" xfId="5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AAA095"/>
      <rgbColor rgb="00FFFFFF"/>
      <rgbColor rgb="00FF0000"/>
      <rgbColor rgb="0000FF00"/>
      <rgbColor rgb="00000000"/>
      <rgbColor rgb="00FFFF00"/>
      <rgbColor rgb="00FF00FF"/>
      <rgbColor rgb="0000FFFF"/>
      <rgbColor rgb="00000000"/>
      <rgbColor rgb="00000000"/>
      <rgbColor rgb="00FFDB0A"/>
      <rgbColor rgb="00000000"/>
      <rgbColor rgb="00800080"/>
      <rgbColor rgb="00000000"/>
      <rgbColor rgb="00E5E5E5"/>
      <rgbColor rgb="00000000"/>
      <rgbColor rgb="00AAA095"/>
      <rgbColor rgb="00FFE91B"/>
      <rgbColor rgb="00EC736A"/>
      <rgbColor rgb="0067A2C0"/>
      <rgbColor rgb="0082766A"/>
      <rgbColor rgb="00FFDB0A"/>
      <rgbColor rgb="00DF473F"/>
      <rgbColor rgb="003C799F"/>
      <rgbColor rgb="00AAA095"/>
      <rgbColor rgb="00FFE91B"/>
      <rgbColor rgb="00EC736A"/>
      <rgbColor rgb="0067A2C0"/>
      <rgbColor rgb="0082766A"/>
      <rgbColor rgb="00FFDB0A"/>
      <rgbColor rgb="00DF473F"/>
      <rgbColor rgb="003C799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000000"/>
      <rgbColor rgb="00000000"/>
      <rgbColor rgb="00969696"/>
      <rgbColor rgb="0082766A"/>
      <rgbColor rgb="00339966"/>
      <rgbColor rgb="0067A2C0"/>
      <rgbColor rgb="00EC736A"/>
      <rgbColor rgb="00FFE91B"/>
      <rgbColor rgb="00993366"/>
      <rgbColor rgb="00DF473F"/>
      <rgbColor rgb="003C799F"/>
    </indexedColors>
    <mruColors>
      <color rgb="FF009999"/>
      <color rgb="FF00CC99"/>
      <color rgb="FF89B241"/>
      <color rgb="FF6B2879"/>
      <color rgb="FF471F65"/>
      <color rgb="FF008A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sv-SE"/>
              <a:t>Totala LCC-kostnader</a:t>
            </a:r>
          </a:p>
        </c:rich>
      </c:tx>
      <c:overlay val="0"/>
    </c:title>
    <c:autoTitleDeleted val="0"/>
    <c:plotArea>
      <c:layout/>
      <c:barChart>
        <c:barDir val="col"/>
        <c:grouping val="stacked"/>
        <c:varyColors val="0"/>
        <c:ser>
          <c:idx val="0"/>
          <c:order val="0"/>
          <c:tx>
            <c:strRef>
              <c:f>'6. Resultat'!$B$17</c:f>
              <c:strCache>
                <c:ptCount val="1"/>
                <c:pt idx="0">
                  <c:v>Investeringskostnader</c:v>
                </c:pt>
              </c:strCache>
            </c:strRef>
          </c:tx>
          <c:spPr>
            <a:solidFill>
              <a:srgbClr val="6B2879"/>
            </a:solidFill>
          </c:spPr>
          <c:invertIfNegative val="0"/>
          <c:cat>
            <c:strRef>
              <c:f>('6. Resultat'!$G$16,'6. Resultat'!$J$16,'6. Resultat'!$M$16,'6. Resultat'!$P$16,'6. Resultat'!$S$16)</c:f>
              <c:strCache>
                <c:ptCount val="4"/>
                <c:pt idx="0">
                  <c:v>Anläggning 1</c:v>
                </c:pt>
                <c:pt idx="1">
                  <c:v>Anläggning 2</c:v>
                </c:pt>
                <c:pt idx="2">
                  <c:v>Anläggning 3</c:v>
                </c:pt>
                <c:pt idx="3">
                  <c:v>Anläggning 4</c:v>
                </c:pt>
              </c:strCache>
            </c:strRef>
          </c:cat>
          <c:val>
            <c:numRef>
              <c:f>('6. Resultat'!$G$17,'6. Resultat'!$J$17,'6. Resultat'!$M$17,'6. Resultat'!$P$17)</c:f>
              <c:numCache>
                <c:formatCode>#,##0</c:formatCode>
                <c:ptCount val="4"/>
                <c:pt idx="0">
                  <c:v>0</c:v>
                </c:pt>
                <c:pt idx="1">
                  <c:v>0</c:v>
                </c:pt>
                <c:pt idx="2">
                  <c:v>0</c:v>
                </c:pt>
                <c:pt idx="3">
                  <c:v>0</c:v>
                </c:pt>
              </c:numCache>
            </c:numRef>
          </c:val>
          <c:extLst>
            <c:ext xmlns:c16="http://schemas.microsoft.com/office/drawing/2014/chart" uri="{C3380CC4-5D6E-409C-BE32-E72D297353CC}">
              <c16:uniqueId val="{00000000-6AE9-4CC9-800E-1103314AC11E}"/>
            </c:ext>
          </c:extLst>
        </c:ser>
        <c:ser>
          <c:idx val="1"/>
          <c:order val="1"/>
          <c:tx>
            <c:strRef>
              <c:f>'6. Resultat'!$B$18</c:f>
              <c:strCache>
                <c:ptCount val="1"/>
                <c:pt idx="0">
                  <c:v>Energikostnader</c:v>
                </c:pt>
              </c:strCache>
            </c:strRef>
          </c:tx>
          <c:spPr>
            <a:solidFill>
              <a:srgbClr val="89B241"/>
            </a:solidFill>
          </c:spPr>
          <c:invertIfNegative val="0"/>
          <c:cat>
            <c:strRef>
              <c:f>('6. Resultat'!$G$16,'6. Resultat'!$J$16,'6. Resultat'!$M$16,'6. Resultat'!$P$16,'6. Resultat'!$S$16)</c:f>
              <c:strCache>
                <c:ptCount val="4"/>
                <c:pt idx="0">
                  <c:v>Anläggning 1</c:v>
                </c:pt>
                <c:pt idx="1">
                  <c:v>Anläggning 2</c:v>
                </c:pt>
                <c:pt idx="2">
                  <c:v>Anläggning 3</c:v>
                </c:pt>
                <c:pt idx="3">
                  <c:v>Anläggning 4</c:v>
                </c:pt>
              </c:strCache>
            </c:strRef>
          </c:cat>
          <c:val>
            <c:numRef>
              <c:f>('6. Resultat'!$G$18,'6. Resultat'!$J$18,'6. Resultat'!$M$18,'6. Resultat'!$P$18)</c:f>
              <c:numCache>
                <c:formatCode>#,##0</c:formatCode>
                <c:ptCount val="4"/>
                <c:pt idx="0">
                  <c:v>0</c:v>
                </c:pt>
                <c:pt idx="1">
                  <c:v>0</c:v>
                </c:pt>
                <c:pt idx="2">
                  <c:v>0</c:v>
                </c:pt>
                <c:pt idx="3">
                  <c:v>0</c:v>
                </c:pt>
              </c:numCache>
            </c:numRef>
          </c:val>
          <c:extLst>
            <c:ext xmlns:c16="http://schemas.microsoft.com/office/drawing/2014/chart" uri="{C3380CC4-5D6E-409C-BE32-E72D297353CC}">
              <c16:uniqueId val="{00000001-6AE9-4CC9-800E-1103314AC11E}"/>
            </c:ext>
          </c:extLst>
        </c:ser>
        <c:ser>
          <c:idx val="2"/>
          <c:order val="2"/>
          <c:tx>
            <c:strRef>
              <c:f>'6. Resultat'!$B$19</c:f>
              <c:strCache>
                <c:ptCount val="1"/>
                <c:pt idx="0">
                  <c:v>Underhållskostnader</c:v>
                </c:pt>
              </c:strCache>
            </c:strRef>
          </c:tx>
          <c:spPr>
            <a:solidFill>
              <a:srgbClr val="008A2B"/>
            </a:solidFill>
          </c:spPr>
          <c:invertIfNegative val="0"/>
          <c:cat>
            <c:strRef>
              <c:f>('6. Resultat'!$G$16,'6. Resultat'!$J$16,'6. Resultat'!$M$16,'6. Resultat'!$P$16,'6. Resultat'!$S$16)</c:f>
              <c:strCache>
                <c:ptCount val="4"/>
                <c:pt idx="0">
                  <c:v>Anläggning 1</c:v>
                </c:pt>
                <c:pt idx="1">
                  <c:v>Anläggning 2</c:v>
                </c:pt>
                <c:pt idx="2">
                  <c:v>Anläggning 3</c:v>
                </c:pt>
                <c:pt idx="3">
                  <c:v>Anläggning 4</c:v>
                </c:pt>
              </c:strCache>
            </c:strRef>
          </c:cat>
          <c:val>
            <c:numRef>
              <c:f>('6. Resultat'!$G$19,'6. Resultat'!$J$19,'6. Resultat'!$M$19,'6. Resultat'!$P$19)</c:f>
              <c:numCache>
                <c:formatCode>#,##0</c:formatCode>
                <c:ptCount val="4"/>
                <c:pt idx="0">
                  <c:v>0</c:v>
                </c:pt>
                <c:pt idx="1">
                  <c:v>0</c:v>
                </c:pt>
                <c:pt idx="2">
                  <c:v>0</c:v>
                </c:pt>
                <c:pt idx="3">
                  <c:v>0</c:v>
                </c:pt>
              </c:numCache>
            </c:numRef>
          </c:val>
          <c:extLst>
            <c:ext xmlns:c16="http://schemas.microsoft.com/office/drawing/2014/chart" uri="{C3380CC4-5D6E-409C-BE32-E72D297353CC}">
              <c16:uniqueId val="{00000002-6AE9-4CC9-800E-1103314AC11E}"/>
            </c:ext>
          </c:extLst>
        </c:ser>
        <c:dLbls>
          <c:showLegendKey val="0"/>
          <c:showVal val="0"/>
          <c:showCatName val="0"/>
          <c:showSerName val="0"/>
          <c:showPercent val="0"/>
          <c:showBubbleSize val="0"/>
        </c:dLbls>
        <c:gapWidth val="81"/>
        <c:overlap val="100"/>
        <c:axId val="333859160"/>
        <c:axId val="333856024"/>
      </c:barChart>
      <c:catAx>
        <c:axId val="333859160"/>
        <c:scaling>
          <c:orientation val="minMax"/>
        </c:scaling>
        <c:delete val="0"/>
        <c:axPos val="b"/>
        <c:numFmt formatCode="General" sourceLinked="1"/>
        <c:majorTickMark val="none"/>
        <c:minorTickMark val="none"/>
        <c:tickLblPos val="nextTo"/>
        <c:crossAx val="333856024"/>
        <c:crosses val="autoZero"/>
        <c:auto val="1"/>
        <c:lblAlgn val="ctr"/>
        <c:lblOffset val="100"/>
        <c:noMultiLvlLbl val="0"/>
      </c:catAx>
      <c:valAx>
        <c:axId val="333856024"/>
        <c:scaling>
          <c:orientation val="minMax"/>
        </c:scaling>
        <c:delete val="0"/>
        <c:axPos val="l"/>
        <c:majorGridlines/>
        <c:title>
          <c:tx>
            <c:rich>
              <a:bodyPr rot="-5400000" vert="horz"/>
              <a:lstStyle/>
              <a:p>
                <a:pPr>
                  <a:defRPr/>
                </a:pPr>
                <a:r>
                  <a:rPr lang="sv-SE"/>
                  <a:t>Kronor</a:t>
                </a:r>
              </a:p>
            </c:rich>
          </c:tx>
          <c:overlay val="0"/>
        </c:title>
        <c:numFmt formatCode="#,##0" sourceLinked="1"/>
        <c:majorTickMark val="none"/>
        <c:minorTickMark val="none"/>
        <c:tickLblPos val="nextTo"/>
        <c:crossAx val="33385916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sv-SE"/>
              <a:t>Energianvändning &amp; klimatpåverkan</a:t>
            </a:r>
          </a:p>
        </c:rich>
      </c:tx>
      <c:overlay val="0"/>
    </c:title>
    <c:autoTitleDeleted val="0"/>
    <c:plotArea>
      <c:layout/>
      <c:barChart>
        <c:barDir val="col"/>
        <c:grouping val="clustered"/>
        <c:varyColors val="0"/>
        <c:ser>
          <c:idx val="0"/>
          <c:order val="0"/>
          <c:tx>
            <c:strRef>
              <c:f>'6. Resultat'!$B$24</c:f>
              <c:strCache>
                <c:ptCount val="1"/>
                <c:pt idx="0">
                  <c:v>Energianvändning </c:v>
                </c:pt>
              </c:strCache>
            </c:strRef>
          </c:tx>
          <c:spPr>
            <a:solidFill>
              <a:srgbClr val="00636A"/>
            </a:solidFill>
          </c:spPr>
          <c:invertIfNegative val="0"/>
          <c:cat>
            <c:strRef>
              <c:f>('6. Resultat'!$G$16,'6. Resultat'!$J$16,'6. Resultat'!$M$16,'6. Resultat'!$P$16,'6. Resultat'!$S$16)</c:f>
              <c:strCache>
                <c:ptCount val="4"/>
                <c:pt idx="0">
                  <c:v>Anläggning 1</c:v>
                </c:pt>
                <c:pt idx="1">
                  <c:v>Anläggning 2</c:v>
                </c:pt>
                <c:pt idx="2">
                  <c:v>Anläggning 3</c:v>
                </c:pt>
                <c:pt idx="3">
                  <c:v>Anläggning 4</c:v>
                </c:pt>
              </c:strCache>
            </c:strRef>
          </c:cat>
          <c:val>
            <c:numRef>
              <c:f>('6. Resultat'!$G$24,'6. Resultat'!$J$24,'6. Resultat'!$M$24,'6. Resultat'!$P$24)</c:f>
              <c:numCache>
                <c:formatCode>#,##0</c:formatCode>
                <c:ptCount val="4"/>
                <c:pt idx="0">
                  <c:v>0</c:v>
                </c:pt>
                <c:pt idx="1">
                  <c:v>0</c:v>
                </c:pt>
                <c:pt idx="2">
                  <c:v>0</c:v>
                </c:pt>
                <c:pt idx="3">
                  <c:v>0</c:v>
                </c:pt>
              </c:numCache>
            </c:numRef>
          </c:val>
          <c:extLst>
            <c:ext xmlns:c16="http://schemas.microsoft.com/office/drawing/2014/chart" uri="{C3380CC4-5D6E-409C-BE32-E72D297353CC}">
              <c16:uniqueId val="{00000000-BAB4-4E7F-8E00-5E7523A5D781}"/>
            </c:ext>
          </c:extLst>
        </c:ser>
        <c:ser>
          <c:idx val="1"/>
          <c:order val="1"/>
          <c:tx>
            <c:v>dummty</c:v>
          </c:tx>
          <c:invertIfNegative val="0"/>
          <c:cat>
            <c:strRef>
              <c:f>('6. Resultat'!$G$16,'6. Resultat'!$J$16,'6. Resultat'!$M$16,'6. Resultat'!$P$16,'6. Resultat'!$S$16)</c:f>
              <c:strCache>
                <c:ptCount val="4"/>
                <c:pt idx="0">
                  <c:v>Anläggning 1</c:v>
                </c:pt>
                <c:pt idx="1">
                  <c:v>Anläggning 2</c:v>
                </c:pt>
                <c:pt idx="2">
                  <c:v>Anläggning 3</c:v>
                </c:pt>
                <c:pt idx="3">
                  <c:v>Anläggning 4</c:v>
                </c:pt>
              </c:strCache>
            </c:strRef>
          </c:cat>
          <c:val>
            <c:numRef>
              <c:f>('6. Resultat'!$G$26,'6. Resultat'!$H$26,'6. Resultat'!$I$26,'6. Resultat'!$J$26)</c:f>
              <c:numCache>
                <c:formatCode>General</c:formatCode>
                <c:ptCount val="4"/>
              </c:numCache>
            </c:numRef>
          </c:val>
          <c:extLst>
            <c:ext xmlns:c16="http://schemas.microsoft.com/office/drawing/2014/chart" uri="{C3380CC4-5D6E-409C-BE32-E72D297353CC}">
              <c16:uniqueId val="{00000001-BAB4-4E7F-8E00-5E7523A5D781}"/>
            </c:ext>
          </c:extLst>
        </c:ser>
        <c:dLbls>
          <c:showLegendKey val="0"/>
          <c:showVal val="0"/>
          <c:showCatName val="0"/>
          <c:showSerName val="0"/>
          <c:showPercent val="0"/>
          <c:showBubbleSize val="0"/>
        </c:dLbls>
        <c:gapWidth val="150"/>
        <c:axId val="333856416"/>
        <c:axId val="333858768"/>
      </c:barChart>
      <c:barChart>
        <c:barDir val="col"/>
        <c:grouping val="clustered"/>
        <c:varyColors val="0"/>
        <c:ser>
          <c:idx val="2"/>
          <c:order val="2"/>
          <c:tx>
            <c:v>dummty</c:v>
          </c:tx>
          <c:invertIfNegative val="0"/>
          <c:val>
            <c:numRef>
              <c:f>('6. Resultat'!$G$52,'6. Resultat'!$H$52,'6. Resultat'!$I$52,'6. Resultat'!$J$52)</c:f>
              <c:numCache>
                <c:formatCode>General</c:formatCode>
                <c:ptCount val="4"/>
              </c:numCache>
            </c:numRef>
          </c:val>
          <c:extLst>
            <c:ext xmlns:c16="http://schemas.microsoft.com/office/drawing/2014/chart" uri="{C3380CC4-5D6E-409C-BE32-E72D297353CC}">
              <c16:uniqueId val="{00000002-BAB4-4E7F-8E00-5E7523A5D781}"/>
            </c:ext>
          </c:extLst>
        </c:ser>
        <c:ser>
          <c:idx val="3"/>
          <c:order val="3"/>
          <c:tx>
            <c:strRef>
              <c:f>'6. Resultat'!$B$25</c:f>
              <c:strCache>
                <c:ptCount val="1"/>
                <c:pt idx="0">
                  <c:v>Klimatpåverkan</c:v>
                </c:pt>
              </c:strCache>
            </c:strRef>
          </c:tx>
          <c:spPr>
            <a:solidFill>
              <a:srgbClr val="E05B27"/>
            </a:solidFill>
          </c:spPr>
          <c:invertIfNegative val="0"/>
          <c:val>
            <c:numRef>
              <c:f>('6. Resultat'!$G$25,'6. Resultat'!$J$25,'6. Resultat'!$M$25,'6. Resultat'!$P$25)</c:f>
              <c:numCache>
                <c:formatCode>#,##0</c:formatCode>
                <c:ptCount val="4"/>
                <c:pt idx="0">
                  <c:v>0</c:v>
                </c:pt>
                <c:pt idx="1">
                  <c:v>0</c:v>
                </c:pt>
                <c:pt idx="2">
                  <c:v>0</c:v>
                </c:pt>
                <c:pt idx="3">
                  <c:v>0</c:v>
                </c:pt>
              </c:numCache>
            </c:numRef>
          </c:val>
          <c:extLst>
            <c:ext xmlns:c16="http://schemas.microsoft.com/office/drawing/2014/chart" uri="{C3380CC4-5D6E-409C-BE32-E72D297353CC}">
              <c16:uniqueId val="{00000003-BAB4-4E7F-8E00-5E7523A5D781}"/>
            </c:ext>
          </c:extLst>
        </c:ser>
        <c:dLbls>
          <c:showLegendKey val="0"/>
          <c:showVal val="0"/>
          <c:showCatName val="0"/>
          <c:showSerName val="0"/>
          <c:showPercent val="0"/>
          <c:showBubbleSize val="0"/>
        </c:dLbls>
        <c:gapWidth val="150"/>
        <c:axId val="333856808"/>
        <c:axId val="333852496"/>
      </c:barChart>
      <c:catAx>
        <c:axId val="333856416"/>
        <c:scaling>
          <c:orientation val="minMax"/>
        </c:scaling>
        <c:delete val="0"/>
        <c:axPos val="b"/>
        <c:numFmt formatCode="General" sourceLinked="0"/>
        <c:majorTickMark val="out"/>
        <c:minorTickMark val="none"/>
        <c:tickLblPos val="nextTo"/>
        <c:crossAx val="333858768"/>
        <c:crosses val="autoZero"/>
        <c:auto val="1"/>
        <c:lblAlgn val="ctr"/>
        <c:lblOffset val="100"/>
        <c:noMultiLvlLbl val="0"/>
      </c:catAx>
      <c:valAx>
        <c:axId val="333858768"/>
        <c:scaling>
          <c:orientation val="minMax"/>
          <c:min val="0"/>
        </c:scaling>
        <c:delete val="0"/>
        <c:axPos val="l"/>
        <c:majorGridlines/>
        <c:title>
          <c:tx>
            <c:rich>
              <a:bodyPr rot="-5400000" vert="horz"/>
              <a:lstStyle/>
              <a:p>
                <a:pPr>
                  <a:defRPr/>
                </a:pPr>
                <a:r>
                  <a:rPr lang="sv-SE"/>
                  <a:t>kWh/år</a:t>
                </a:r>
              </a:p>
            </c:rich>
          </c:tx>
          <c:overlay val="0"/>
        </c:title>
        <c:numFmt formatCode="#,##0" sourceLinked="1"/>
        <c:majorTickMark val="out"/>
        <c:minorTickMark val="none"/>
        <c:tickLblPos val="nextTo"/>
        <c:crossAx val="333856416"/>
        <c:crosses val="autoZero"/>
        <c:crossBetween val="between"/>
      </c:valAx>
      <c:valAx>
        <c:axId val="333852496"/>
        <c:scaling>
          <c:orientation val="minMax"/>
          <c:min val="0"/>
        </c:scaling>
        <c:delete val="0"/>
        <c:axPos val="r"/>
        <c:title>
          <c:tx>
            <c:rich>
              <a:bodyPr rot="-5400000" vert="horz"/>
              <a:lstStyle/>
              <a:p>
                <a:pPr>
                  <a:defRPr/>
                </a:pPr>
                <a:r>
                  <a:rPr lang="sv-SE"/>
                  <a:t>kgC02/år</a:t>
                </a:r>
              </a:p>
            </c:rich>
          </c:tx>
          <c:overlay val="0"/>
        </c:title>
        <c:numFmt formatCode="General" sourceLinked="1"/>
        <c:majorTickMark val="out"/>
        <c:minorTickMark val="none"/>
        <c:tickLblPos val="nextTo"/>
        <c:crossAx val="333856808"/>
        <c:crosses val="max"/>
        <c:crossBetween val="between"/>
      </c:valAx>
      <c:catAx>
        <c:axId val="333856808"/>
        <c:scaling>
          <c:orientation val="minMax"/>
        </c:scaling>
        <c:delete val="1"/>
        <c:axPos val="b"/>
        <c:majorTickMark val="out"/>
        <c:minorTickMark val="none"/>
        <c:tickLblPos val="nextTo"/>
        <c:crossAx val="333852496"/>
        <c:crosses val="autoZero"/>
        <c:auto val="1"/>
        <c:lblAlgn val="ctr"/>
        <c:lblOffset val="100"/>
        <c:noMultiLvlLbl val="0"/>
      </c:catAx>
    </c:plotArea>
    <c:legend>
      <c:legendPos val="b"/>
      <c:legendEntry>
        <c:idx val="1"/>
        <c:delete val="1"/>
      </c:legendEntry>
      <c:legendEntry>
        <c:idx val="2"/>
        <c:delete val="1"/>
      </c:legendEntry>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hyperlink" Target="#'6. Resultat'!A1"/><Relationship Id="rId3" Type="http://schemas.openxmlformats.org/officeDocument/2006/relationships/hyperlink" Target="#'1. Introduktion'!A1"/><Relationship Id="rId7" Type="http://schemas.openxmlformats.org/officeDocument/2006/relationships/hyperlink" Target="#'5. Ber&#228;kningsfaktorer klimat'!A1"/><Relationship Id="rId12" Type="http://schemas.openxmlformats.org/officeDocument/2006/relationships/hyperlink" Target="#'2. LCC A4'!A1"/><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hyperlink" Target="#'4. Reduktionsfaktorer, LENI-tal'!A1"/><Relationship Id="rId11" Type="http://schemas.openxmlformats.org/officeDocument/2006/relationships/hyperlink" Target="#'2. LCC A3'!A1"/><Relationship Id="rId5" Type="http://schemas.openxmlformats.org/officeDocument/2006/relationships/hyperlink" Target="#'3. Kalkylparametrar'!A1"/><Relationship Id="rId10" Type="http://schemas.openxmlformats.org/officeDocument/2006/relationships/hyperlink" Target="#'2. LCC A2'!A1"/><Relationship Id="rId4" Type="http://schemas.openxmlformats.org/officeDocument/2006/relationships/hyperlink" Target="#'2. LCC A1'!A1"/><Relationship Id="rId9" Type="http://schemas.openxmlformats.org/officeDocument/2006/relationships/hyperlink" Target="#'7. Svarsformul&#228;r'!A1"/></Relationships>
</file>

<file path=xl/drawings/_rels/drawing2.xml.rels><?xml version="1.0" encoding="UTF-8" standalone="yes"?>
<Relationships xmlns="http://schemas.openxmlformats.org/package/2006/relationships"><Relationship Id="rId8" Type="http://schemas.openxmlformats.org/officeDocument/2006/relationships/hyperlink" Target="#'7. Svarsformul&#228;r'!A1"/><Relationship Id="rId3" Type="http://schemas.openxmlformats.org/officeDocument/2006/relationships/hyperlink" Target="#'2. LCC A1'!A1"/><Relationship Id="rId7" Type="http://schemas.openxmlformats.org/officeDocument/2006/relationships/hyperlink" Target="#'6. Resultat'!A1"/><Relationship Id="rId2" Type="http://schemas.openxmlformats.org/officeDocument/2006/relationships/hyperlink" Target="#'1. Introduktion'!A1"/><Relationship Id="rId1" Type="http://schemas.openxmlformats.org/officeDocument/2006/relationships/image" Target="../media/image1.png"/><Relationship Id="rId6" Type="http://schemas.openxmlformats.org/officeDocument/2006/relationships/hyperlink" Target="#'5. Ber&#228;kningsfaktorer klimat'!A1"/><Relationship Id="rId11" Type="http://schemas.openxmlformats.org/officeDocument/2006/relationships/hyperlink" Target="#'2. LCC A4'!A1"/><Relationship Id="rId5" Type="http://schemas.openxmlformats.org/officeDocument/2006/relationships/hyperlink" Target="#'4. Reduktionsfaktorer, LENI-tal'!A1"/><Relationship Id="rId10" Type="http://schemas.openxmlformats.org/officeDocument/2006/relationships/hyperlink" Target="#'2. LCC A3'!A1"/><Relationship Id="rId4" Type="http://schemas.openxmlformats.org/officeDocument/2006/relationships/hyperlink" Target="#'3. Kalkylparametrar'!A1"/><Relationship Id="rId9" Type="http://schemas.openxmlformats.org/officeDocument/2006/relationships/hyperlink" Target="#'2. LCC A2'!A1"/></Relationships>
</file>

<file path=xl/drawings/_rels/drawing3.xml.rels><?xml version="1.0" encoding="UTF-8" standalone="yes"?>
<Relationships xmlns="http://schemas.openxmlformats.org/package/2006/relationships"><Relationship Id="rId8" Type="http://schemas.openxmlformats.org/officeDocument/2006/relationships/hyperlink" Target="#'7. Svarsformul&#228;r'!A1"/><Relationship Id="rId3" Type="http://schemas.openxmlformats.org/officeDocument/2006/relationships/hyperlink" Target="#'2. LCC A1'!A1"/><Relationship Id="rId7" Type="http://schemas.openxmlformats.org/officeDocument/2006/relationships/hyperlink" Target="#'6. Resultat'!A1"/><Relationship Id="rId2" Type="http://schemas.openxmlformats.org/officeDocument/2006/relationships/hyperlink" Target="#'1. Introduktion'!A1"/><Relationship Id="rId1" Type="http://schemas.openxmlformats.org/officeDocument/2006/relationships/image" Target="../media/image1.png"/><Relationship Id="rId6" Type="http://schemas.openxmlformats.org/officeDocument/2006/relationships/hyperlink" Target="#'5. Ber&#228;kningsfaktorer klimat'!A1"/><Relationship Id="rId11" Type="http://schemas.openxmlformats.org/officeDocument/2006/relationships/hyperlink" Target="#'2. LCC A4'!A1"/><Relationship Id="rId5" Type="http://schemas.openxmlformats.org/officeDocument/2006/relationships/hyperlink" Target="#'4. Reduktionsfaktorer, LENI-tal'!A1"/><Relationship Id="rId10" Type="http://schemas.openxmlformats.org/officeDocument/2006/relationships/hyperlink" Target="#'2. LCC A3'!A1"/><Relationship Id="rId4" Type="http://schemas.openxmlformats.org/officeDocument/2006/relationships/hyperlink" Target="#'3. Kalkylparametrar'!A1"/><Relationship Id="rId9" Type="http://schemas.openxmlformats.org/officeDocument/2006/relationships/hyperlink" Target="#'2. LCC A2'!A1"/></Relationships>
</file>

<file path=xl/drawings/_rels/drawing4.xml.rels><?xml version="1.0" encoding="UTF-8" standalone="yes"?>
<Relationships xmlns="http://schemas.openxmlformats.org/package/2006/relationships"><Relationship Id="rId8" Type="http://schemas.openxmlformats.org/officeDocument/2006/relationships/hyperlink" Target="#'7. Svarsformul&#228;r'!A1"/><Relationship Id="rId3" Type="http://schemas.openxmlformats.org/officeDocument/2006/relationships/hyperlink" Target="#'2. LCC A1'!A1"/><Relationship Id="rId7" Type="http://schemas.openxmlformats.org/officeDocument/2006/relationships/hyperlink" Target="#'6. Resultat'!A1"/><Relationship Id="rId2" Type="http://schemas.openxmlformats.org/officeDocument/2006/relationships/hyperlink" Target="#'1. Introduktion'!A1"/><Relationship Id="rId1" Type="http://schemas.openxmlformats.org/officeDocument/2006/relationships/image" Target="../media/image1.png"/><Relationship Id="rId6" Type="http://schemas.openxmlformats.org/officeDocument/2006/relationships/hyperlink" Target="#'5. Ber&#228;kningsfaktorer klimat'!A1"/><Relationship Id="rId11" Type="http://schemas.openxmlformats.org/officeDocument/2006/relationships/hyperlink" Target="#'2. LCC A4'!A1"/><Relationship Id="rId5" Type="http://schemas.openxmlformats.org/officeDocument/2006/relationships/hyperlink" Target="#'4. Reduktionsfaktorer, LENI-tal'!A1"/><Relationship Id="rId10" Type="http://schemas.openxmlformats.org/officeDocument/2006/relationships/hyperlink" Target="#'2. LCC A3'!A1"/><Relationship Id="rId4" Type="http://schemas.openxmlformats.org/officeDocument/2006/relationships/hyperlink" Target="#'3. Kalkylparametrar'!A1"/><Relationship Id="rId9" Type="http://schemas.openxmlformats.org/officeDocument/2006/relationships/hyperlink" Target="#'2. LCC A2'!A1"/></Relationships>
</file>

<file path=xl/drawings/_rels/drawing5.xml.rels><?xml version="1.0" encoding="UTF-8" standalone="yes"?>
<Relationships xmlns="http://schemas.openxmlformats.org/package/2006/relationships"><Relationship Id="rId8" Type="http://schemas.openxmlformats.org/officeDocument/2006/relationships/hyperlink" Target="#'7. Svarsformul&#228;r'!A1"/><Relationship Id="rId3" Type="http://schemas.openxmlformats.org/officeDocument/2006/relationships/hyperlink" Target="#'2. LCC A1'!A1"/><Relationship Id="rId7" Type="http://schemas.openxmlformats.org/officeDocument/2006/relationships/hyperlink" Target="#'6. Resultat'!A1"/><Relationship Id="rId2" Type="http://schemas.openxmlformats.org/officeDocument/2006/relationships/hyperlink" Target="#'1. Introduktion'!A1"/><Relationship Id="rId1" Type="http://schemas.openxmlformats.org/officeDocument/2006/relationships/image" Target="../media/image1.png"/><Relationship Id="rId6" Type="http://schemas.openxmlformats.org/officeDocument/2006/relationships/hyperlink" Target="#'5. Ber&#228;kningsfaktorer klimat'!A1"/><Relationship Id="rId11" Type="http://schemas.openxmlformats.org/officeDocument/2006/relationships/hyperlink" Target="#'2. LCC A4'!A1"/><Relationship Id="rId5" Type="http://schemas.openxmlformats.org/officeDocument/2006/relationships/hyperlink" Target="#'4. Reduktionsfaktorer, LENI-tal'!A1"/><Relationship Id="rId10" Type="http://schemas.openxmlformats.org/officeDocument/2006/relationships/hyperlink" Target="#'2. LCC A3'!A1"/><Relationship Id="rId4" Type="http://schemas.openxmlformats.org/officeDocument/2006/relationships/hyperlink" Target="#'3. Kalkylparametrar'!A1"/><Relationship Id="rId9" Type="http://schemas.openxmlformats.org/officeDocument/2006/relationships/hyperlink" Target="#'2. LCC A2'!A1"/></Relationships>
</file>

<file path=xl/drawings/_rels/drawing6.xml.rels><?xml version="1.0" encoding="UTF-8" standalone="yes"?>
<Relationships xmlns="http://schemas.openxmlformats.org/package/2006/relationships"><Relationship Id="rId8" Type="http://schemas.openxmlformats.org/officeDocument/2006/relationships/hyperlink" Target="#'7. Svarsformul&#228;r'!A1"/><Relationship Id="rId3" Type="http://schemas.openxmlformats.org/officeDocument/2006/relationships/hyperlink" Target="#'2. LCC A1'!A1"/><Relationship Id="rId7" Type="http://schemas.openxmlformats.org/officeDocument/2006/relationships/hyperlink" Target="#'6. Resultat'!A1"/><Relationship Id="rId2" Type="http://schemas.openxmlformats.org/officeDocument/2006/relationships/hyperlink" Target="#'1. Introduktion'!A1"/><Relationship Id="rId1" Type="http://schemas.openxmlformats.org/officeDocument/2006/relationships/image" Target="../media/image1.png"/><Relationship Id="rId6" Type="http://schemas.openxmlformats.org/officeDocument/2006/relationships/hyperlink" Target="#'5. Ber&#228;kningsfaktorer klimat'!A1"/><Relationship Id="rId11" Type="http://schemas.openxmlformats.org/officeDocument/2006/relationships/hyperlink" Target="#'2. LCC A4'!A1"/><Relationship Id="rId5" Type="http://schemas.openxmlformats.org/officeDocument/2006/relationships/hyperlink" Target="#'4. Reduktionsfaktorer, LENI-tal'!A1"/><Relationship Id="rId10" Type="http://schemas.openxmlformats.org/officeDocument/2006/relationships/hyperlink" Target="#'2. LCC A3'!A1"/><Relationship Id="rId4" Type="http://schemas.openxmlformats.org/officeDocument/2006/relationships/hyperlink" Target="#'3. Kalkylparametrar'!A1"/><Relationship Id="rId9" Type="http://schemas.openxmlformats.org/officeDocument/2006/relationships/hyperlink" Target="#'2. LCC A2'!A1"/></Relationships>
</file>

<file path=xl/drawings/_rels/drawing7.xml.rels><?xml version="1.0" encoding="UTF-8" standalone="yes"?>
<Relationships xmlns="http://schemas.openxmlformats.org/package/2006/relationships"><Relationship Id="rId8" Type="http://schemas.openxmlformats.org/officeDocument/2006/relationships/hyperlink" Target="#'7. Svarsformul&#228;r'!A1"/><Relationship Id="rId3" Type="http://schemas.openxmlformats.org/officeDocument/2006/relationships/hyperlink" Target="#'2. LCC A1'!A1"/><Relationship Id="rId7" Type="http://schemas.openxmlformats.org/officeDocument/2006/relationships/hyperlink" Target="#'6. Resultat'!A1"/><Relationship Id="rId2" Type="http://schemas.openxmlformats.org/officeDocument/2006/relationships/hyperlink" Target="#'1. Introduktion'!A1"/><Relationship Id="rId1" Type="http://schemas.openxmlformats.org/officeDocument/2006/relationships/image" Target="../media/image1.png"/><Relationship Id="rId6" Type="http://schemas.openxmlformats.org/officeDocument/2006/relationships/hyperlink" Target="#'5. Ber&#228;kningsfaktorer klimat'!A1"/><Relationship Id="rId11" Type="http://schemas.openxmlformats.org/officeDocument/2006/relationships/hyperlink" Target="#'2. LCC A4'!A1"/><Relationship Id="rId5" Type="http://schemas.openxmlformats.org/officeDocument/2006/relationships/hyperlink" Target="#'4. Reduktionsfaktorer, LENI-tal'!A1"/><Relationship Id="rId10" Type="http://schemas.openxmlformats.org/officeDocument/2006/relationships/hyperlink" Target="#'2. LCC A3'!A1"/><Relationship Id="rId4" Type="http://schemas.openxmlformats.org/officeDocument/2006/relationships/hyperlink" Target="#'3. Kalkylparametrar'!A1"/><Relationship Id="rId9" Type="http://schemas.openxmlformats.org/officeDocument/2006/relationships/hyperlink" Target="#'2. LCC A2'!A1"/></Relationships>
</file>

<file path=xl/drawings/_rels/drawing8.xml.rels><?xml version="1.0" encoding="UTF-8" standalone="yes"?>
<Relationships xmlns="http://schemas.openxmlformats.org/package/2006/relationships"><Relationship Id="rId8" Type="http://schemas.openxmlformats.org/officeDocument/2006/relationships/hyperlink" Target="#'7. Svarsformul&#228;r'!A1"/><Relationship Id="rId3" Type="http://schemas.openxmlformats.org/officeDocument/2006/relationships/hyperlink" Target="#'2. LCC A1'!A1"/><Relationship Id="rId7" Type="http://schemas.openxmlformats.org/officeDocument/2006/relationships/hyperlink" Target="#'6. Resultat'!A1"/><Relationship Id="rId2" Type="http://schemas.openxmlformats.org/officeDocument/2006/relationships/hyperlink" Target="#'1. Introduktion'!A1"/><Relationship Id="rId1" Type="http://schemas.openxmlformats.org/officeDocument/2006/relationships/image" Target="../media/image1.png"/><Relationship Id="rId6" Type="http://schemas.openxmlformats.org/officeDocument/2006/relationships/hyperlink" Target="#'5. Ber&#228;kningsfaktorer klimat'!A1"/><Relationship Id="rId11" Type="http://schemas.openxmlformats.org/officeDocument/2006/relationships/hyperlink" Target="#'2. LCC A4'!A1"/><Relationship Id="rId5" Type="http://schemas.openxmlformats.org/officeDocument/2006/relationships/hyperlink" Target="#'4. Reduktionsfaktorer, LENI-tal'!A1"/><Relationship Id="rId10" Type="http://schemas.openxmlformats.org/officeDocument/2006/relationships/hyperlink" Target="#'2. LCC A3'!A1"/><Relationship Id="rId4" Type="http://schemas.openxmlformats.org/officeDocument/2006/relationships/hyperlink" Target="#'3. Kalkylparametrar'!A1"/><Relationship Id="rId9" Type="http://schemas.openxmlformats.org/officeDocument/2006/relationships/hyperlink" Target="#'2. LCC A2'!A1"/></Relationships>
</file>

<file path=xl/drawings/_rels/drawing9.xml.rels><?xml version="1.0" encoding="UTF-8" standalone="yes"?>
<Relationships xmlns="http://schemas.openxmlformats.org/package/2006/relationships"><Relationship Id="rId8" Type="http://schemas.openxmlformats.org/officeDocument/2006/relationships/hyperlink" Target="#'5. Ber&#228;kningsfaktorer klimat'!A1"/><Relationship Id="rId13" Type="http://schemas.openxmlformats.org/officeDocument/2006/relationships/hyperlink" Target="#'2. LCC A4'!A1"/><Relationship Id="rId3" Type="http://schemas.openxmlformats.org/officeDocument/2006/relationships/chart" Target="../charts/chart2.xml"/><Relationship Id="rId7" Type="http://schemas.openxmlformats.org/officeDocument/2006/relationships/hyperlink" Target="#'4. Reduktionsfaktorer, LENI-tal'!A1"/><Relationship Id="rId12" Type="http://schemas.openxmlformats.org/officeDocument/2006/relationships/hyperlink" Target="#'2. LCC A3'!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hyperlink" Target="#'3. Kalkylparametrar'!A1"/><Relationship Id="rId11" Type="http://schemas.openxmlformats.org/officeDocument/2006/relationships/hyperlink" Target="#'2. LCC A2'!A1"/><Relationship Id="rId5" Type="http://schemas.openxmlformats.org/officeDocument/2006/relationships/hyperlink" Target="#'2. LCC A1'!A1"/><Relationship Id="rId10" Type="http://schemas.openxmlformats.org/officeDocument/2006/relationships/hyperlink" Target="#'7. Svarsformul&#228;r'!A1"/><Relationship Id="rId4" Type="http://schemas.openxmlformats.org/officeDocument/2006/relationships/hyperlink" Target="#'1. Introduktion'!A1"/><Relationship Id="rId9" Type="http://schemas.openxmlformats.org/officeDocument/2006/relationships/hyperlink" Target="#'6. Resultat'!A1"/></Relationships>
</file>

<file path=xl/drawings/_rels/drawing10.xml.rels><?xml version="1.0" encoding="UTF-8" standalone="yes"?>
<Relationships xmlns="http://schemas.openxmlformats.org/package/2006/relationships"><Relationship Id="rId8" Type="http://schemas.openxmlformats.org/officeDocument/2006/relationships/hyperlink" Target="#'7. Svarsformul&#228;r'!A1"/><Relationship Id="rId3" Type="http://schemas.openxmlformats.org/officeDocument/2006/relationships/hyperlink" Target="#'2. LCC A1'!A1"/><Relationship Id="rId7" Type="http://schemas.openxmlformats.org/officeDocument/2006/relationships/hyperlink" Target="#'6. Resultat'!A1"/><Relationship Id="rId2" Type="http://schemas.openxmlformats.org/officeDocument/2006/relationships/hyperlink" Target="#'1. Introduktion'!A1"/><Relationship Id="rId1" Type="http://schemas.openxmlformats.org/officeDocument/2006/relationships/image" Target="../media/image1.png"/><Relationship Id="rId6" Type="http://schemas.openxmlformats.org/officeDocument/2006/relationships/hyperlink" Target="#'5. Ber&#228;kningsfaktorer klimat'!A1"/><Relationship Id="rId11" Type="http://schemas.openxmlformats.org/officeDocument/2006/relationships/hyperlink" Target="#'2. LCC A4'!A1"/><Relationship Id="rId5" Type="http://schemas.openxmlformats.org/officeDocument/2006/relationships/hyperlink" Target="#'4. Reduktionsfaktorer, LENI-tal'!A1"/><Relationship Id="rId10" Type="http://schemas.openxmlformats.org/officeDocument/2006/relationships/hyperlink" Target="#'2. LCC A3'!A1"/><Relationship Id="rId4" Type="http://schemas.openxmlformats.org/officeDocument/2006/relationships/hyperlink" Target="#'3. Kalkylparametrar'!A1"/><Relationship Id="rId9" Type="http://schemas.openxmlformats.org/officeDocument/2006/relationships/hyperlink" Target="#'2. LCC A2'!A1"/></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0</xdr:row>
      <xdr:rowOff>95250</xdr:rowOff>
    </xdr:from>
    <xdr:to>
      <xdr:col>5</xdr:col>
      <xdr:colOff>418782</xdr:colOff>
      <xdr:row>4</xdr:row>
      <xdr:rowOff>101486</xdr:rowOff>
    </xdr:to>
    <xdr:pic>
      <xdr:nvPicPr>
        <xdr:cNvPr id="2" name="Bildobjekt 1">
          <a:extLst>
            <a:ext uri="{FF2B5EF4-FFF2-40B4-BE49-F238E27FC236}">
              <a16:creationId xmlns:a16="http://schemas.microsoft.com/office/drawing/2014/main" id="{EDD102E3-0113-4DA0-AD37-2374FE446E75}"/>
            </a:ext>
          </a:extLst>
        </xdr:cNvPr>
        <xdr:cNvPicPr>
          <a:picLocks noChangeAspect="1"/>
        </xdr:cNvPicPr>
      </xdr:nvPicPr>
      <xdr:blipFill>
        <a:blip xmlns:r="http://schemas.openxmlformats.org/officeDocument/2006/relationships" r:embed="rId1"/>
        <a:stretch>
          <a:fillRect/>
        </a:stretch>
      </xdr:blipFill>
      <xdr:spPr>
        <a:xfrm>
          <a:off x="638175" y="95250"/>
          <a:ext cx="2542857" cy="914286"/>
        </a:xfrm>
        <a:prstGeom prst="rect">
          <a:avLst/>
        </a:prstGeom>
      </xdr:spPr>
    </xdr:pic>
    <xdr:clientData/>
  </xdr:twoCellAnchor>
  <xdr:twoCellAnchor editAs="oneCell">
    <xdr:from>
      <xdr:col>7</xdr:col>
      <xdr:colOff>19050</xdr:colOff>
      <xdr:row>10</xdr:row>
      <xdr:rowOff>66675</xdr:rowOff>
    </xdr:from>
    <xdr:to>
      <xdr:col>20</xdr:col>
      <xdr:colOff>137795</xdr:colOff>
      <xdr:row>19</xdr:row>
      <xdr:rowOff>139699</xdr:rowOff>
    </xdr:to>
    <xdr:pic>
      <xdr:nvPicPr>
        <xdr:cNvPr id="3" name="Bildobjekt 2">
          <a:extLst>
            <a:ext uri="{FF2B5EF4-FFF2-40B4-BE49-F238E27FC236}">
              <a16:creationId xmlns:a16="http://schemas.microsoft.com/office/drawing/2014/main" id="{CB8BDD06-4433-40EC-BC9B-21D2F86C79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86200" y="2447925"/>
          <a:ext cx="7362825" cy="1647824"/>
        </a:xfrm>
        <a:prstGeom prst="rect">
          <a:avLst/>
        </a:prstGeom>
      </xdr:spPr>
    </xdr:pic>
    <xdr:clientData/>
  </xdr:twoCellAnchor>
  <xdr:twoCellAnchor>
    <xdr:from>
      <xdr:col>0</xdr:col>
      <xdr:colOff>0</xdr:colOff>
      <xdr:row>5</xdr:row>
      <xdr:rowOff>0</xdr:rowOff>
    </xdr:from>
    <xdr:to>
      <xdr:col>22</xdr:col>
      <xdr:colOff>171451</xdr:colOff>
      <xdr:row>5</xdr:row>
      <xdr:rowOff>514800</xdr:rowOff>
    </xdr:to>
    <xdr:grpSp>
      <xdr:nvGrpSpPr>
        <xdr:cNvPr id="4" name="Grupp 3">
          <a:extLst>
            <a:ext uri="{FF2B5EF4-FFF2-40B4-BE49-F238E27FC236}">
              <a16:creationId xmlns:a16="http://schemas.microsoft.com/office/drawing/2014/main" id="{1AC56435-DDDF-4E7D-9BE8-97352DA6DA24}"/>
            </a:ext>
          </a:extLst>
        </xdr:cNvPr>
        <xdr:cNvGrpSpPr/>
      </xdr:nvGrpSpPr>
      <xdr:grpSpPr>
        <a:xfrm>
          <a:off x="0" y="1076325"/>
          <a:ext cx="12677776" cy="514800"/>
          <a:chOff x="0" y="1076325"/>
          <a:chExt cx="12496801" cy="514800"/>
        </a:xfrm>
      </xdr:grpSpPr>
      <xdr:sp macro="" textlink="">
        <xdr:nvSpPr>
          <xdr:cNvPr id="5" name="Rektangel 4">
            <a:hlinkClick xmlns:r="http://schemas.openxmlformats.org/officeDocument/2006/relationships" r:id="rId3"/>
            <a:extLst>
              <a:ext uri="{FF2B5EF4-FFF2-40B4-BE49-F238E27FC236}">
                <a16:creationId xmlns:a16="http://schemas.microsoft.com/office/drawing/2014/main" id="{AC8983EB-28D6-4497-2146-D01571317B27}"/>
              </a:ext>
            </a:extLst>
          </xdr:cNvPr>
          <xdr:cNvSpPr/>
        </xdr:nvSpPr>
        <xdr:spPr bwMode="auto">
          <a:xfrm>
            <a:off x="266700" y="1076325"/>
            <a:ext cx="1247775"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6" name="Rektangel 5">
            <a:hlinkClick xmlns:r="http://schemas.openxmlformats.org/officeDocument/2006/relationships" r:id="rId4"/>
            <a:extLst>
              <a:ext uri="{FF2B5EF4-FFF2-40B4-BE49-F238E27FC236}">
                <a16:creationId xmlns:a16="http://schemas.microsoft.com/office/drawing/2014/main" id="{7561D26E-E39A-0272-66E1-71890E90DE95}"/>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 -kalkyl A1</a:t>
            </a:r>
          </a:p>
        </xdr:txBody>
      </xdr:sp>
      <xdr:sp macro="" textlink="">
        <xdr:nvSpPr>
          <xdr:cNvPr id="7" name="Rektangel 6">
            <a:hlinkClick xmlns:r="http://schemas.openxmlformats.org/officeDocument/2006/relationships" r:id="rId5"/>
            <a:extLst>
              <a:ext uri="{FF2B5EF4-FFF2-40B4-BE49-F238E27FC236}">
                <a16:creationId xmlns:a16="http://schemas.microsoft.com/office/drawing/2014/main" id="{42F88B51-F039-2567-376E-D95F833C618E}"/>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8" name="Rektangel 7">
            <a:hlinkClick xmlns:r="http://schemas.openxmlformats.org/officeDocument/2006/relationships" r:id="rId6"/>
            <a:extLst>
              <a:ext uri="{FF2B5EF4-FFF2-40B4-BE49-F238E27FC236}">
                <a16:creationId xmlns:a16="http://schemas.microsoft.com/office/drawing/2014/main" id="{241CCAAC-AAE8-5B81-BFDC-BF96F943D2CB}"/>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9" name="Rektangel 8">
            <a:hlinkClick xmlns:r="http://schemas.openxmlformats.org/officeDocument/2006/relationships" r:id="rId7"/>
            <a:extLst>
              <a:ext uri="{FF2B5EF4-FFF2-40B4-BE49-F238E27FC236}">
                <a16:creationId xmlns:a16="http://schemas.microsoft.com/office/drawing/2014/main" id="{3E79808B-FC2F-5622-D5CC-4D9673029FAB}"/>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10" name="Rektangel 9">
            <a:hlinkClick xmlns:r="http://schemas.openxmlformats.org/officeDocument/2006/relationships" r:id="rId8"/>
            <a:extLst>
              <a:ext uri="{FF2B5EF4-FFF2-40B4-BE49-F238E27FC236}">
                <a16:creationId xmlns:a16="http://schemas.microsoft.com/office/drawing/2014/main" id="{89159650-8546-0BEF-3328-E4EB53E818D4}"/>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11" name="Rektangel 10">
            <a:hlinkClick xmlns:r="http://schemas.openxmlformats.org/officeDocument/2006/relationships" r:id="rId9"/>
            <a:extLst>
              <a:ext uri="{FF2B5EF4-FFF2-40B4-BE49-F238E27FC236}">
                <a16:creationId xmlns:a16="http://schemas.microsoft.com/office/drawing/2014/main" id="{52AF3A61-B906-9CB4-D27D-98C63D77E64E}"/>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12" name="Rektangel 11">
            <a:extLst>
              <a:ext uri="{FF2B5EF4-FFF2-40B4-BE49-F238E27FC236}">
                <a16:creationId xmlns:a16="http://schemas.microsoft.com/office/drawing/2014/main" id="{2B559419-0ACC-3472-09CC-D45394F92D1E}"/>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13" name="Rektangel 12">
            <a:hlinkClick xmlns:r="http://schemas.openxmlformats.org/officeDocument/2006/relationships" r:id="rId10"/>
            <a:extLst>
              <a:ext uri="{FF2B5EF4-FFF2-40B4-BE49-F238E27FC236}">
                <a16:creationId xmlns:a16="http://schemas.microsoft.com/office/drawing/2014/main" id="{52D29BAF-6178-5E63-D1A3-2076BA9B61AD}"/>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A2</a:t>
            </a:r>
          </a:p>
        </xdr:txBody>
      </xdr:sp>
      <xdr:sp macro="" textlink="">
        <xdr:nvSpPr>
          <xdr:cNvPr id="14" name="Rektangel 13">
            <a:hlinkClick xmlns:r="http://schemas.openxmlformats.org/officeDocument/2006/relationships" r:id="rId11"/>
            <a:extLst>
              <a:ext uri="{FF2B5EF4-FFF2-40B4-BE49-F238E27FC236}">
                <a16:creationId xmlns:a16="http://schemas.microsoft.com/office/drawing/2014/main" id="{41DD2627-73F4-FB7F-98EE-8952867DF468}"/>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A3</a:t>
            </a:r>
          </a:p>
        </xdr:txBody>
      </xdr:sp>
      <xdr:sp macro="" textlink="">
        <xdr:nvSpPr>
          <xdr:cNvPr id="15" name="Rektangel 14">
            <a:hlinkClick xmlns:r="http://schemas.openxmlformats.org/officeDocument/2006/relationships" r:id="rId12"/>
            <a:extLst>
              <a:ext uri="{FF2B5EF4-FFF2-40B4-BE49-F238E27FC236}">
                <a16:creationId xmlns:a16="http://schemas.microsoft.com/office/drawing/2014/main" id="{63E4D6CF-3A40-A94A-5E35-4A9B0806B946}"/>
              </a:ext>
            </a:extLst>
          </xdr:cNvPr>
          <xdr:cNvSpPr/>
        </xdr:nvSpPr>
        <xdr:spPr bwMode="auto">
          <a:xfrm>
            <a:off x="40957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 -kalkyl A4</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295275</xdr:colOff>
      <xdr:row>8</xdr:row>
      <xdr:rowOff>171450</xdr:rowOff>
    </xdr:from>
    <xdr:to>
      <xdr:col>9</xdr:col>
      <xdr:colOff>161925</xdr:colOff>
      <xdr:row>20</xdr:row>
      <xdr:rowOff>85725</xdr:rowOff>
    </xdr:to>
    <xdr:sp macro="" textlink="">
      <xdr:nvSpPr>
        <xdr:cNvPr id="2" name="Rektangel 1">
          <a:extLst>
            <a:ext uri="{FF2B5EF4-FFF2-40B4-BE49-F238E27FC236}">
              <a16:creationId xmlns:a16="http://schemas.microsoft.com/office/drawing/2014/main" id="{00000000-0008-0000-0100-000002000000}"/>
            </a:ext>
          </a:extLst>
        </xdr:cNvPr>
        <xdr:cNvSpPr/>
      </xdr:nvSpPr>
      <xdr:spPr bwMode="auto">
        <a:xfrm>
          <a:off x="295275" y="1771650"/>
          <a:ext cx="5838825" cy="2762250"/>
        </a:xfrm>
        <a:prstGeom prst="rect">
          <a:avLst/>
        </a:prstGeom>
        <a:noFill/>
        <a:ln w="1905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clientData/>
  </xdr:twoCellAnchor>
  <xdr:twoCellAnchor editAs="oneCell">
    <xdr:from>
      <xdr:col>1</xdr:col>
      <xdr:colOff>85725</xdr:colOff>
      <xdr:row>0</xdr:row>
      <xdr:rowOff>95250</xdr:rowOff>
    </xdr:from>
    <xdr:to>
      <xdr:col>5</xdr:col>
      <xdr:colOff>20002</xdr:colOff>
      <xdr:row>4</xdr:row>
      <xdr:rowOff>96406</xdr:rowOff>
    </xdr:to>
    <xdr:pic>
      <xdr:nvPicPr>
        <xdr:cNvPr id="7" name="Bildobjekt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638175" y="95250"/>
          <a:ext cx="2542857" cy="914286"/>
        </a:xfrm>
        <a:prstGeom prst="rect">
          <a:avLst/>
        </a:prstGeom>
      </xdr:spPr>
    </xdr:pic>
    <xdr:clientData/>
  </xdr:twoCellAnchor>
  <xdr:twoCellAnchor>
    <xdr:from>
      <xdr:col>0</xdr:col>
      <xdr:colOff>0</xdr:colOff>
      <xdr:row>5</xdr:row>
      <xdr:rowOff>0</xdr:rowOff>
    </xdr:from>
    <xdr:to>
      <xdr:col>13</xdr:col>
      <xdr:colOff>1209676</xdr:colOff>
      <xdr:row>5</xdr:row>
      <xdr:rowOff>514800</xdr:rowOff>
    </xdr:to>
    <xdr:grpSp>
      <xdr:nvGrpSpPr>
        <xdr:cNvPr id="25" name="Grupp 24">
          <a:extLst>
            <a:ext uri="{FF2B5EF4-FFF2-40B4-BE49-F238E27FC236}">
              <a16:creationId xmlns:a16="http://schemas.microsoft.com/office/drawing/2014/main" id="{9E222D15-99F1-4E72-900F-6740DB0CE348}"/>
            </a:ext>
          </a:extLst>
        </xdr:cNvPr>
        <xdr:cNvGrpSpPr/>
      </xdr:nvGrpSpPr>
      <xdr:grpSpPr>
        <a:xfrm>
          <a:off x="0" y="1063625"/>
          <a:ext cx="14036676" cy="514800"/>
          <a:chOff x="0" y="1076325"/>
          <a:chExt cx="12496801" cy="514800"/>
        </a:xfrm>
      </xdr:grpSpPr>
      <xdr:sp macro="" textlink="">
        <xdr:nvSpPr>
          <xdr:cNvPr id="26" name="Rektangel 25">
            <a:hlinkClick xmlns:r="http://schemas.openxmlformats.org/officeDocument/2006/relationships" r:id="rId2"/>
            <a:extLst>
              <a:ext uri="{FF2B5EF4-FFF2-40B4-BE49-F238E27FC236}">
                <a16:creationId xmlns:a16="http://schemas.microsoft.com/office/drawing/2014/main" id="{2F9E298D-6A90-795A-07CD-DC9555366C7A}"/>
              </a:ext>
            </a:extLst>
          </xdr:cNvPr>
          <xdr:cNvSpPr/>
        </xdr:nvSpPr>
        <xdr:spPr bwMode="auto">
          <a:xfrm>
            <a:off x="386634" y="1076325"/>
            <a:ext cx="112784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27" name="Rektangel 26">
            <a:hlinkClick xmlns:r="http://schemas.openxmlformats.org/officeDocument/2006/relationships" r:id="rId3"/>
            <a:extLst>
              <a:ext uri="{FF2B5EF4-FFF2-40B4-BE49-F238E27FC236}">
                <a16:creationId xmlns:a16="http://schemas.microsoft.com/office/drawing/2014/main" id="{972D8E17-919A-0A11-C150-A1E354511522}"/>
              </a:ext>
            </a:extLst>
          </xdr:cNvPr>
          <xdr:cNvSpPr/>
        </xdr:nvSpPr>
        <xdr:spPr bwMode="auto">
          <a:xfrm>
            <a:off x="1524000" y="1076325"/>
            <a:ext cx="847725"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A1</a:t>
            </a:r>
          </a:p>
        </xdr:txBody>
      </xdr:sp>
      <xdr:sp macro="" textlink="">
        <xdr:nvSpPr>
          <xdr:cNvPr id="28" name="Rektangel 27">
            <a:hlinkClick xmlns:r="http://schemas.openxmlformats.org/officeDocument/2006/relationships" r:id="rId4"/>
            <a:extLst>
              <a:ext uri="{FF2B5EF4-FFF2-40B4-BE49-F238E27FC236}">
                <a16:creationId xmlns:a16="http://schemas.microsoft.com/office/drawing/2014/main" id="{2794D7DE-44A5-470B-4AB5-416F1BE4E5D2}"/>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29" name="Rektangel 28">
            <a:hlinkClick xmlns:r="http://schemas.openxmlformats.org/officeDocument/2006/relationships" r:id="rId5"/>
            <a:extLst>
              <a:ext uri="{FF2B5EF4-FFF2-40B4-BE49-F238E27FC236}">
                <a16:creationId xmlns:a16="http://schemas.microsoft.com/office/drawing/2014/main" id="{0555936C-13AD-5A51-2AA8-E0E0FDFB4660}"/>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30" name="Rektangel 29">
            <a:hlinkClick xmlns:r="http://schemas.openxmlformats.org/officeDocument/2006/relationships" r:id="rId6"/>
            <a:extLst>
              <a:ext uri="{FF2B5EF4-FFF2-40B4-BE49-F238E27FC236}">
                <a16:creationId xmlns:a16="http://schemas.microsoft.com/office/drawing/2014/main" id="{961D678E-1742-1C75-392F-79FDFA621698}"/>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31" name="Rektangel 30">
            <a:hlinkClick xmlns:r="http://schemas.openxmlformats.org/officeDocument/2006/relationships" r:id="rId7"/>
            <a:extLst>
              <a:ext uri="{FF2B5EF4-FFF2-40B4-BE49-F238E27FC236}">
                <a16:creationId xmlns:a16="http://schemas.microsoft.com/office/drawing/2014/main" id="{174C9EF8-D4C6-05B1-FAE9-A52D3C5A55CB}"/>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32" name="Rektangel 31">
            <a:hlinkClick xmlns:r="http://schemas.openxmlformats.org/officeDocument/2006/relationships" r:id="rId8"/>
            <a:extLst>
              <a:ext uri="{FF2B5EF4-FFF2-40B4-BE49-F238E27FC236}">
                <a16:creationId xmlns:a16="http://schemas.microsoft.com/office/drawing/2014/main" id="{E9D1CAC4-8254-EF3D-2337-206D38F80C3B}"/>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33" name="Rektangel 32">
            <a:extLst>
              <a:ext uri="{FF2B5EF4-FFF2-40B4-BE49-F238E27FC236}">
                <a16:creationId xmlns:a16="http://schemas.microsoft.com/office/drawing/2014/main" id="{7AD0D781-DFF9-0F42-1928-E1932C200DEE}"/>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34" name="Rektangel 33">
            <a:hlinkClick xmlns:r="http://schemas.openxmlformats.org/officeDocument/2006/relationships" r:id="rId9"/>
            <a:extLst>
              <a:ext uri="{FF2B5EF4-FFF2-40B4-BE49-F238E27FC236}">
                <a16:creationId xmlns:a16="http://schemas.microsoft.com/office/drawing/2014/main" id="{8641D7B5-B36E-9488-5071-6CE262110E46}"/>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A2</a:t>
            </a:r>
          </a:p>
        </xdr:txBody>
      </xdr:sp>
      <xdr:sp macro="" textlink="">
        <xdr:nvSpPr>
          <xdr:cNvPr id="35" name="Rektangel 34">
            <a:hlinkClick xmlns:r="http://schemas.openxmlformats.org/officeDocument/2006/relationships" r:id="rId10"/>
            <a:extLst>
              <a:ext uri="{FF2B5EF4-FFF2-40B4-BE49-F238E27FC236}">
                <a16:creationId xmlns:a16="http://schemas.microsoft.com/office/drawing/2014/main" id="{3169E109-A32E-568D-A6D5-B5B653FCCB06}"/>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A3</a:t>
            </a:r>
          </a:p>
        </xdr:txBody>
      </xdr:sp>
      <xdr:sp macro="" textlink="">
        <xdr:nvSpPr>
          <xdr:cNvPr id="36" name="Rektangel 35">
            <a:hlinkClick xmlns:r="http://schemas.openxmlformats.org/officeDocument/2006/relationships" r:id="rId11"/>
            <a:extLst>
              <a:ext uri="{FF2B5EF4-FFF2-40B4-BE49-F238E27FC236}">
                <a16:creationId xmlns:a16="http://schemas.microsoft.com/office/drawing/2014/main" id="{ADC5DF50-29BE-3562-9A92-90F7662BA652}"/>
              </a:ext>
            </a:extLst>
          </xdr:cNvPr>
          <xdr:cNvSpPr/>
        </xdr:nvSpPr>
        <xdr:spPr bwMode="auto">
          <a:xfrm>
            <a:off x="4095750" y="1076325"/>
            <a:ext cx="9283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A4</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295275</xdr:colOff>
      <xdr:row>8</xdr:row>
      <xdr:rowOff>171450</xdr:rowOff>
    </xdr:from>
    <xdr:to>
      <xdr:col>9</xdr:col>
      <xdr:colOff>161925</xdr:colOff>
      <xdr:row>20</xdr:row>
      <xdr:rowOff>85725</xdr:rowOff>
    </xdr:to>
    <xdr:sp macro="" textlink="">
      <xdr:nvSpPr>
        <xdr:cNvPr id="2" name="Rektangel 1">
          <a:extLst>
            <a:ext uri="{FF2B5EF4-FFF2-40B4-BE49-F238E27FC236}">
              <a16:creationId xmlns:a16="http://schemas.microsoft.com/office/drawing/2014/main" id="{D056A628-9AA9-4F63-A213-9DDDE70E1212}"/>
            </a:ext>
          </a:extLst>
        </xdr:cNvPr>
        <xdr:cNvSpPr/>
      </xdr:nvSpPr>
      <xdr:spPr bwMode="auto">
        <a:xfrm>
          <a:off x="1304925" y="2305050"/>
          <a:ext cx="6219825" cy="2371725"/>
        </a:xfrm>
        <a:prstGeom prst="rect">
          <a:avLst/>
        </a:prstGeom>
        <a:noFill/>
        <a:ln w="1905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clientData/>
  </xdr:twoCellAnchor>
  <xdr:twoCellAnchor editAs="oneCell">
    <xdr:from>
      <xdr:col>1</xdr:col>
      <xdr:colOff>85725</xdr:colOff>
      <xdr:row>0</xdr:row>
      <xdr:rowOff>95250</xdr:rowOff>
    </xdr:from>
    <xdr:to>
      <xdr:col>5</xdr:col>
      <xdr:colOff>22542</xdr:colOff>
      <xdr:row>4</xdr:row>
      <xdr:rowOff>98946</xdr:rowOff>
    </xdr:to>
    <xdr:pic>
      <xdr:nvPicPr>
        <xdr:cNvPr id="3" name="Bildobjekt 2">
          <a:extLst>
            <a:ext uri="{FF2B5EF4-FFF2-40B4-BE49-F238E27FC236}">
              <a16:creationId xmlns:a16="http://schemas.microsoft.com/office/drawing/2014/main" id="{14B60D25-B8A9-48F9-8A62-B07DBE4AB61C}"/>
            </a:ext>
          </a:extLst>
        </xdr:cNvPr>
        <xdr:cNvPicPr>
          <a:picLocks noChangeAspect="1"/>
        </xdr:cNvPicPr>
      </xdr:nvPicPr>
      <xdr:blipFill>
        <a:blip xmlns:r="http://schemas.openxmlformats.org/officeDocument/2006/relationships" r:embed="rId1"/>
        <a:stretch>
          <a:fillRect/>
        </a:stretch>
      </xdr:blipFill>
      <xdr:spPr>
        <a:xfrm>
          <a:off x="1095375" y="95250"/>
          <a:ext cx="2542857" cy="914286"/>
        </a:xfrm>
        <a:prstGeom prst="rect">
          <a:avLst/>
        </a:prstGeom>
      </xdr:spPr>
    </xdr:pic>
    <xdr:clientData/>
  </xdr:twoCellAnchor>
  <xdr:twoCellAnchor>
    <xdr:from>
      <xdr:col>0</xdr:col>
      <xdr:colOff>0</xdr:colOff>
      <xdr:row>5</xdr:row>
      <xdr:rowOff>0</xdr:rowOff>
    </xdr:from>
    <xdr:to>
      <xdr:col>13</xdr:col>
      <xdr:colOff>1209676</xdr:colOff>
      <xdr:row>5</xdr:row>
      <xdr:rowOff>514800</xdr:rowOff>
    </xdr:to>
    <xdr:grpSp>
      <xdr:nvGrpSpPr>
        <xdr:cNvPr id="4" name="Grupp 3">
          <a:extLst>
            <a:ext uri="{FF2B5EF4-FFF2-40B4-BE49-F238E27FC236}">
              <a16:creationId xmlns:a16="http://schemas.microsoft.com/office/drawing/2014/main" id="{94EEA681-8E82-4101-AEC6-9E99B2ACC48D}"/>
            </a:ext>
          </a:extLst>
        </xdr:cNvPr>
        <xdr:cNvGrpSpPr/>
      </xdr:nvGrpSpPr>
      <xdr:grpSpPr>
        <a:xfrm>
          <a:off x="0" y="1063625"/>
          <a:ext cx="14036676" cy="514800"/>
          <a:chOff x="0" y="1076325"/>
          <a:chExt cx="12496801" cy="514800"/>
        </a:xfrm>
      </xdr:grpSpPr>
      <xdr:sp macro="" textlink="">
        <xdr:nvSpPr>
          <xdr:cNvPr id="5" name="Rektangel 4">
            <a:hlinkClick xmlns:r="http://schemas.openxmlformats.org/officeDocument/2006/relationships" r:id="rId2"/>
            <a:extLst>
              <a:ext uri="{FF2B5EF4-FFF2-40B4-BE49-F238E27FC236}">
                <a16:creationId xmlns:a16="http://schemas.microsoft.com/office/drawing/2014/main" id="{15163021-3BEA-9B8D-27FC-A040292012A0}"/>
              </a:ext>
            </a:extLst>
          </xdr:cNvPr>
          <xdr:cNvSpPr/>
        </xdr:nvSpPr>
        <xdr:spPr bwMode="auto">
          <a:xfrm>
            <a:off x="386634" y="1076325"/>
            <a:ext cx="112784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6" name="Rektangel 5">
            <a:hlinkClick xmlns:r="http://schemas.openxmlformats.org/officeDocument/2006/relationships" r:id="rId3"/>
            <a:extLst>
              <a:ext uri="{FF2B5EF4-FFF2-40B4-BE49-F238E27FC236}">
                <a16:creationId xmlns:a16="http://schemas.microsoft.com/office/drawing/2014/main" id="{0D7E9AA1-E781-E964-E3A0-293ED3CD9201}"/>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A1</a:t>
            </a:r>
          </a:p>
        </xdr:txBody>
      </xdr:sp>
      <xdr:sp macro="" textlink="">
        <xdr:nvSpPr>
          <xdr:cNvPr id="7" name="Rektangel 6">
            <a:hlinkClick xmlns:r="http://schemas.openxmlformats.org/officeDocument/2006/relationships" r:id="rId4"/>
            <a:extLst>
              <a:ext uri="{FF2B5EF4-FFF2-40B4-BE49-F238E27FC236}">
                <a16:creationId xmlns:a16="http://schemas.microsoft.com/office/drawing/2014/main" id="{264F43B8-F851-DA55-ED1C-776B139061F3}"/>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8" name="Rektangel 7">
            <a:hlinkClick xmlns:r="http://schemas.openxmlformats.org/officeDocument/2006/relationships" r:id="rId5"/>
            <a:extLst>
              <a:ext uri="{FF2B5EF4-FFF2-40B4-BE49-F238E27FC236}">
                <a16:creationId xmlns:a16="http://schemas.microsoft.com/office/drawing/2014/main" id="{7328026D-BD40-408C-3E4A-C888A9786065}"/>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9" name="Rektangel 8">
            <a:hlinkClick xmlns:r="http://schemas.openxmlformats.org/officeDocument/2006/relationships" r:id="rId6"/>
            <a:extLst>
              <a:ext uri="{FF2B5EF4-FFF2-40B4-BE49-F238E27FC236}">
                <a16:creationId xmlns:a16="http://schemas.microsoft.com/office/drawing/2014/main" id="{D5966E2E-585C-82D3-ABA4-BD682FBF517E}"/>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10" name="Rektangel 9">
            <a:hlinkClick xmlns:r="http://schemas.openxmlformats.org/officeDocument/2006/relationships" r:id="rId7"/>
            <a:extLst>
              <a:ext uri="{FF2B5EF4-FFF2-40B4-BE49-F238E27FC236}">
                <a16:creationId xmlns:a16="http://schemas.microsoft.com/office/drawing/2014/main" id="{24C10727-17A5-4BF3-4EB2-B554166E8F16}"/>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11" name="Rektangel 10">
            <a:hlinkClick xmlns:r="http://schemas.openxmlformats.org/officeDocument/2006/relationships" r:id="rId8"/>
            <a:extLst>
              <a:ext uri="{FF2B5EF4-FFF2-40B4-BE49-F238E27FC236}">
                <a16:creationId xmlns:a16="http://schemas.microsoft.com/office/drawing/2014/main" id="{0D1EB3F6-A187-5872-ADD8-16D09ABCCEBA}"/>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12" name="Rektangel 11">
            <a:extLst>
              <a:ext uri="{FF2B5EF4-FFF2-40B4-BE49-F238E27FC236}">
                <a16:creationId xmlns:a16="http://schemas.microsoft.com/office/drawing/2014/main" id="{57B16B32-DDCB-9109-D6CA-D9E8CD433074}"/>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13" name="Rektangel 12">
            <a:hlinkClick xmlns:r="http://schemas.openxmlformats.org/officeDocument/2006/relationships" r:id="rId9"/>
            <a:extLst>
              <a:ext uri="{FF2B5EF4-FFF2-40B4-BE49-F238E27FC236}">
                <a16:creationId xmlns:a16="http://schemas.microsoft.com/office/drawing/2014/main" id="{15CA9541-E86A-37ED-78D3-6946583FAE68}"/>
              </a:ext>
            </a:extLst>
          </xdr:cNvPr>
          <xdr:cNvSpPr/>
        </xdr:nvSpPr>
        <xdr:spPr bwMode="auto">
          <a:xfrm>
            <a:off x="2381250" y="1076325"/>
            <a:ext cx="847725"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A2</a:t>
            </a:r>
          </a:p>
        </xdr:txBody>
      </xdr:sp>
      <xdr:sp macro="" textlink="">
        <xdr:nvSpPr>
          <xdr:cNvPr id="14" name="Rektangel 13">
            <a:hlinkClick xmlns:r="http://schemas.openxmlformats.org/officeDocument/2006/relationships" r:id="rId10"/>
            <a:extLst>
              <a:ext uri="{FF2B5EF4-FFF2-40B4-BE49-F238E27FC236}">
                <a16:creationId xmlns:a16="http://schemas.microsoft.com/office/drawing/2014/main" id="{DD5B61DC-E92D-3A75-044B-76AA1A546F87}"/>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A3</a:t>
            </a:r>
          </a:p>
        </xdr:txBody>
      </xdr:sp>
      <xdr:sp macro="" textlink="">
        <xdr:nvSpPr>
          <xdr:cNvPr id="15" name="Rektangel 14">
            <a:hlinkClick xmlns:r="http://schemas.openxmlformats.org/officeDocument/2006/relationships" r:id="rId11"/>
            <a:extLst>
              <a:ext uri="{FF2B5EF4-FFF2-40B4-BE49-F238E27FC236}">
                <a16:creationId xmlns:a16="http://schemas.microsoft.com/office/drawing/2014/main" id="{FA7ED59B-F0E2-A127-731D-18368DCD4F61}"/>
              </a:ext>
            </a:extLst>
          </xdr:cNvPr>
          <xdr:cNvSpPr/>
        </xdr:nvSpPr>
        <xdr:spPr bwMode="auto">
          <a:xfrm>
            <a:off x="4095750" y="1076325"/>
            <a:ext cx="9283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A4</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295275</xdr:colOff>
      <xdr:row>8</xdr:row>
      <xdr:rowOff>171450</xdr:rowOff>
    </xdr:from>
    <xdr:to>
      <xdr:col>9</xdr:col>
      <xdr:colOff>161925</xdr:colOff>
      <xdr:row>20</xdr:row>
      <xdr:rowOff>85725</xdr:rowOff>
    </xdr:to>
    <xdr:sp macro="" textlink="">
      <xdr:nvSpPr>
        <xdr:cNvPr id="2" name="Rektangel 1">
          <a:extLst>
            <a:ext uri="{FF2B5EF4-FFF2-40B4-BE49-F238E27FC236}">
              <a16:creationId xmlns:a16="http://schemas.microsoft.com/office/drawing/2014/main" id="{C1D00C48-37C6-4932-B100-9DBB4ED74FF3}"/>
            </a:ext>
          </a:extLst>
        </xdr:cNvPr>
        <xdr:cNvSpPr/>
      </xdr:nvSpPr>
      <xdr:spPr bwMode="auto">
        <a:xfrm>
          <a:off x="1304925" y="2305050"/>
          <a:ext cx="6219825" cy="2371725"/>
        </a:xfrm>
        <a:prstGeom prst="rect">
          <a:avLst/>
        </a:prstGeom>
        <a:noFill/>
        <a:ln w="1905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clientData/>
  </xdr:twoCellAnchor>
  <xdr:twoCellAnchor editAs="oneCell">
    <xdr:from>
      <xdr:col>1</xdr:col>
      <xdr:colOff>85725</xdr:colOff>
      <xdr:row>0</xdr:row>
      <xdr:rowOff>95250</xdr:rowOff>
    </xdr:from>
    <xdr:to>
      <xdr:col>5</xdr:col>
      <xdr:colOff>22542</xdr:colOff>
      <xdr:row>4</xdr:row>
      <xdr:rowOff>98946</xdr:rowOff>
    </xdr:to>
    <xdr:pic>
      <xdr:nvPicPr>
        <xdr:cNvPr id="3" name="Bildobjekt 2">
          <a:extLst>
            <a:ext uri="{FF2B5EF4-FFF2-40B4-BE49-F238E27FC236}">
              <a16:creationId xmlns:a16="http://schemas.microsoft.com/office/drawing/2014/main" id="{91E648AB-EF0C-4541-82F6-31B229F7A193}"/>
            </a:ext>
          </a:extLst>
        </xdr:cNvPr>
        <xdr:cNvPicPr>
          <a:picLocks noChangeAspect="1"/>
        </xdr:cNvPicPr>
      </xdr:nvPicPr>
      <xdr:blipFill>
        <a:blip xmlns:r="http://schemas.openxmlformats.org/officeDocument/2006/relationships" r:embed="rId1"/>
        <a:stretch>
          <a:fillRect/>
        </a:stretch>
      </xdr:blipFill>
      <xdr:spPr>
        <a:xfrm>
          <a:off x="1095375" y="95250"/>
          <a:ext cx="2542857" cy="914286"/>
        </a:xfrm>
        <a:prstGeom prst="rect">
          <a:avLst/>
        </a:prstGeom>
      </xdr:spPr>
    </xdr:pic>
    <xdr:clientData/>
  </xdr:twoCellAnchor>
  <xdr:twoCellAnchor>
    <xdr:from>
      <xdr:col>0</xdr:col>
      <xdr:colOff>0</xdr:colOff>
      <xdr:row>5</xdr:row>
      <xdr:rowOff>0</xdr:rowOff>
    </xdr:from>
    <xdr:to>
      <xdr:col>13</xdr:col>
      <xdr:colOff>1209676</xdr:colOff>
      <xdr:row>5</xdr:row>
      <xdr:rowOff>514800</xdr:rowOff>
    </xdr:to>
    <xdr:grpSp>
      <xdr:nvGrpSpPr>
        <xdr:cNvPr id="4" name="Grupp 3">
          <a:extLst>
            <a:ext uri="{FF2B5EF4-FFF2-40B4-BE49-F238E27FC236}">
              <a16:creationId xmlns:a16="http://schemas.microsoft.com/office/drawing/2014/main" id="{8F98E742-D0F1-42AF-8655-1B14C1F46767}"/>
            </a:ext>
          </a:extLst>
        </xdr:cNvPr>
        <xdr:cNvGrpSpPr/>
      </xdr:nvGrpSpPr>
      <xdr:grpSpPr>
        <a:xfrm>
          <a:off x="0" y="1063625"/>
          <a:ext cx="14036676" cy="267150"/>
          <a:chOff x="0" y="1076325"/>
          <a:chExt cx="12496801" cy="514800"/>
        </a:xfrm>
      </xdr:grpSpPr>
      <xdr:sp macro="" textlink="">
        <xdr:nvSpPr>
          <xdr:cNvPr id="5" name="Rektangel 4">
            <a:hlinkClick xmlns:r="http://schemas.openxmlformats.org/officeDocument/2006/relationships" r:id="rId2"/>
            <a:extLst>
              <a:ext uri="{FF2B5EF4-FFF2-40B4-BE49-F238E27FC236}">
                <a16:creationId xmlns:a16="http://schemas.microsoft.com/office/drawing/2014/main" id="{562E0F28-F4B5-A130-466E-20A44F9EC306}"/>
              </a:ext>
            </a:extLst>
          </xdr:cNvPr>
          <xdr:cNvSpPr/>
        </xdr:nvSpPr>
        <xdr:spPr bwMode="auto">
          <a:xfrm>
            <a:off x="386634" y="1076325"/>
            <a:ext cx="112784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6" name="Rektangel 5">
            <a:hlinkClick xmlns:r="http://schemas.openxmlformats.org/officeDocument/2006/relationships" r:id="rId3"/>
            <a:extLst>
              <a:ext uri="{FF2B5EF4-FFF2-40B4-BE49-F238E27FC236}">
                <a16:creationId xmlns:a16="http://schemas.microsoft.com/office/drawing/2014/main" id="{BB0E0354-B0A1-82E4-244A-F365951FB915}"/>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A1</a:t>
            </a:r>
          </a:p>
        </xdr:txBody>
      </xdr:sp>
      <xdr:sp macro="" textlink="">
        <xdr:nvSpPr>
          <xdr:cNvPr id="7" name="Rektangel 6">
            <a:hlinkClick xmlns:r="http://schemas.openxmlformats.org/officeDocument/2006/relationships" r:id="rId4"/>
            <a:extLst>
              <a:ext uri="{FF2B5EF4-FFF2-40B4-BE49-F238E27FC236}">
                <a16:creationId xmlns:a16="http://schemas.microsoft.com/office/drawing/2014/main" id="{977090C7-32E1-CFC2-F972-4A050D9F4CAD}"/>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8" name="Rektangel 7">
            <a:hlinkClick xmlns:r="http://schemas.openxmlformats.org/officeDocument/2006/relationships" r:id="rId5"/>
            <a:extLst>
              <a:ext uri="{FF2B5EF4-FFF2-40B4-BE49-F238E27FC236}">
                <a16:creationId xmlns:a16="http://schemas.microsoft.com/office/drawing/2014/main" id="{BE0A6DB6-398D-7C95-09F2-CCC705F6AF15}"/>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9" name="Rektangel 8">
            <a:hlinkClick xmlns:r="http://schemas.openxmlformats.org/officeDocument/2006/relationships" r:id="rId6"/>
            <a:extLst>
              <a:ext uri="{FF2B5EF4-FFF2-40B4-BE49-F238E27FC236}">
                <a16:creationId xmlns:a16="http://schemas.microsoft.com/office/drawing/2014/main" id="{829C5C83-BC39-90C2-F776-A72CD51B711E}"/>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10" name="Rektangel 9">
            <a:hlinkClick xmlns:r="http://schemas.openxmlformats.org/officeDocument/2006/relationships" r:id="rId7"/>
            <a:extLst>
              <a:ext uri="{FF2B5EF4-FFF2-40B4-BE49-F238E27FC236}">
                <a16:creationId xmlns:a16="http://schemas.microsoft.com/office/drawing/2014/main" id="{412B4BE5-4618-8996-5F6F-2AE926EA8505}"/>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11" name="Rektangel 10">
            <a:hlinkClick xmlns:r="http://schemas.openxmlformats.org/officeDocument/2006/relationships" r:id="rId8"/>
            <a:extLst>
              <a:ext uri="{FF2B5EF4-FFF2-40B4-BE49-F238E27FC236}">
                <a16:creationId xmlns:a16="http://schemas.microsoft.com/office/drawing/2014/main" id="{029FB806-F087-C86A-24CB-3CA22AA69BA6}"/>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12" name="Rektangel 11">
            <a:extLst>
              <a:ext uri="{FF2B5EF4-FFF2-40B4-BE49-F238E27FC236}">
                <a16:creationId xmlns:a16="http://schemas.microsoft.com/office/drawing/2014/main" id="{1050B9BD-2555-8130-4EF1-AD63600E1F97}"/>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13" name="Rektangel 12">
            <a:hlinkClick xmlns:r="http://schemas.openxmlformats.org/officeDocument/2006/relationships" r:id="rId9"/>
            <a:extLst>
              <a:ext uri="{FF2B5EF4-FFF2-40B4-BE49-F238E27FC236}">
                <a16:creationId xmlns:a16="http://schemas.microsoft.com/office/drawing/2014/main" id="{69076F7E-472F-F43D-03A8-392CB6CE040E}"/>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A2</a:t>
            </a:r>
          </a:p>
        </xdr:txBody>
      </xdr:sp>
      <xdr:sp macro="" textlink="">
        <xdr:nvSpPr>
          <xdr:cNvPr id="14" name="Rektangel 13">
            <a:hlinkClick xmlns:r="http://schemas.openxmlformats.org/officeDocument/2006/relationships" r:id="rId10"/>
            <a:extLst>
              <a:ext uri="{FF2B5EF4-FFF2-40B4-BE49-F238E27FC236}">
                <a16:creationId xmlns:a16="http://schemas.microsoft.com/office/drawing/2014/main" id="{3C8C8940-691B-F1D4-D2D6-E977D196C113}"/>
              </a:ext>
            </a:extLst>
          </xdr:cNvPr>
          <xdr:cNvSpPr/>
        </xdr:nvSpPr>
        <xdr:spPr bwMode="auto">
          <a:xfrm>
            <a:off x="3238500" y="1076325"/>
            <a:ext cx="847725"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A3</a:t>
            </a:r>
          </a:p>
        </xdr:txBody>
      </xdr:sp>
      <xdr:sp macro="" textlink="">
        <xdr:nvSpPr>
          <xdr:cNvPr id="15" name="Rektangel 14">
            <a:hlinkClick xmlns:r="http://schemas.openxmlformats.org/officeDocument/2006/relationships" r:id="rId11"/>
            <a:extLst>
              <a:ext uri="{FF2B5EF4-FFF2-40B4-BE49-F238E27FC236}">
                <a16:creationId xmlns:a16="http://schemas.microsoft.com/office/drawing/2014/main" id="{AB6FBA1F-EE59-0338-69E2-98B0B14AF9A3}"/>
              </a:ext>
            </a:extLst>
          </xdr:cNvPr>
          <xdr:cNvSpPr/>
        </xdr:nvSpPr>
        <xdr:spPr bwMode="auto">
          <a:xfrm>
            <a:off x="4095750" y="1076325"/>
            <a:ext cx="9283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A4</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295275</xdr:colOff>
      <xdr:row>8</xdr:row>
      <xdr:rowOff>171450</xdr:rowOff>
    </xdr:from>
    <xdr:to>
      <xdr:col>9</xdr:col>
      <xdr:colOff>161925</xdr:colOff>
      <xdr:row>20</xdr:row>
      <xdr:rowOff>85725</xdr:rowOff>
    </xdr:to>
    <xdr:sp macro="" textlink="">
      <xdr:nvSpPr>
        <xdr:cNvPr id="2" name="Rektangel 1">
          <a:extLst>
            <a:ext uri="{FF2B5EF4-FFF2-40B4-BE49-F238E27FC236}">
              <a16:creationId xmlns:a16="http://schemas.microsoft.com/office/drawing/2014/main" id="{25EA0F0C-30F8-4811-97C9-0DEB331241F2}"/>
            </a:ext>
          </a:extLst>
        </xdr:cNvPr>
        <xdr:cNvSpPr/>
      </xdr:nvSpPr>
      <xdr:spPr bwMode="auto">
        <a:xfrm>
          <a:off x="1304925" y="2305050"/>
          <a:ext cx="6219825" cy="2371725"/>
        </a:xfrm>
        <a:prstGeom prst="rect">
          <a:avLst/>
        </a:prstGeom>
        <a:noFill/>
        <a:ln w="1905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clientData/>
  </xdr:twoCellAnchor>
  <xdr:twoCellAnchor editAs="oneCell">
    <xdr:from>
      <xdr:col>1</xdr:col>
      <xdr:colOff>85725</xdr:colOff>
      <xdr:row>0</xdr:row>
      <xdr:rowOff>95250</xdr:rowOff>
    </xdr:from>
    <xdr:to>
      <xdr:col>5</xdr:col>
      <xdr:colOff>22542</xdr:colOff>
      <xdr:row>4</xdr:row>
      <xdr:rowOff>98946</xdr:rowOff>
    </xdr:to>
    <xdr:pic>
      <xdr:nvPicPr>
        <xdr:cNvPr id="3" name="Bildobjekt 2">
          <a:extLst>
            <a:ext uri="{FF2B5EF4-FFF2-40B4-BE49-F238E27FC236}">
              <a16:creationId xmlns:a16="http://schemas.microsoft.com/office/drawing/2014/main" id="{B8A15C53-7778-4EEF-A6F0-6E8D55BD9FE8}"/>
            </a:ext>
          </a:extLst>
        </xdr:cNvPr>
        <xdr:cNvPicPr>
          <a:picLocks noChangeAspect="1"/>
        </xdr:cNvPicPr>
      </xdr:nvPicPr>
      <xdr:blipFill>
        <a:blip xmlns:r="http://schemas.openxmlformats.org/officeDocument/2006/relationships" r:embed="rId1"/>
        <a:stretch>
          <a:fillRect/>
        </a:stretch>
      </xdr:blipFill>
      <xdr:spPr>
        <a:xfrm>
          <a:off x="1095375" y="95250"/>
          <a:ext cx="2542857" cy="914286"/>
        </a:xfrm>
        <a:prstGeom prst="rect">
          <a:avLst/>
        </a:prstGeom>
      </xdr:spPr>
    </xdr:pic>
    <xdr:clientData/>
  </xdr:twoCellAnchor>
  <xdr:twoCellAnchor>
    <xdr:from>
      <xdr:col>0</xdr:col>
      <xdr:colOff>0</xdr:colOff>
      <xdr:row>5</xdr:row>
      <xdr:rowOff>0</xdr:rowOff>
    </xdr:from>
    <xdr:to>
      <xdr:col>13</xdr:col>
      <xdr:colOff>1209676</xdr:colOff>
      <xdr:row>5</xdr:row>
      <xdr:rowOff>514800</xdr:rowOff>
    </xdr:to>
    <xdr:grpSp>
      <xdr:nvGrpSpPr>
        <xdr:cNvPr id="4" name="Grupp 3">
          <a:extLst>
            <a:ext uri="{FF2B5EF4-FFF2-40B4-BE49-F238E27FC236}">
              <a16:creationId xmlns:a16="http://schemas.microsoft.com/office/drawing/2014/main" id="{18627289-582B-4F48-8B02-CF66C1DE2E94}"/>
            </a:ext>
          </a:extLst>
        </xdr:cNvPr>
        <xdr:cNvGrpSpPr/>
      </xdr:nvGrpSpPr>
      <xdr:grpSpPr>
        <a:xfrm>
          <a:off x="0" y="1063625"/>
          <a:ext cx="14036676" cy="267150"/>
          <a:chOff x="0" y="1076325"/>
          <a:chExt cx="12496801" cy="514800"/>
        </a:xfrm>
      </xdr:grpSpPr>
      <xdr:sp macro="" textlink="">
        <xdr:nvSpPr>
          <xdr:cNvPr id="5" name="Rektangel 4">
            <a:hlinkClick xmlns:r="http://schemas.openxmlformats.org/officeDocument/2006/relationships" r:id="rId2"/>
            <a:extLst>
              <a:ext uri="{FF2B5EF4-FFF2-40B4-BE49-F238E27FC236}">
                <a16:creationId xmlns:a16="http://schemas.microsoft.com/office/drawing/2014/main" id="{2544FF10-0D35-DC66-4ACE-474381DF6CD2}"/>
              </a:ext>
            </a:extLst>
          </xdr:cNvPr>
          <xdr:cNvSpPr/>
        </xdr:nvSpPr>
        <xdr:spPr bwMode="auto">
          <a:xfrm>
            <a:off x="386634" y="1076325"/>
            <a:ext cx="112784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6" name="Rektangel 5">
            <a:hlinkClick xmlns:r="http://schemas.openxmlformats.org/officeDocument/2006/relationships" r:id="rId3"/>
            <a:extLst>
              <a:ext uri="{FF2B5EF4-FFF2-40B4-BE49-F238E27FC236}">
                <a16:creationId xmlns:a16="http://schemas.microsoft.com/office/drawing/2014/main" id="{040C080A-8D2D-5331-74FE-FC122B435D4F}"/>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A1</a:t>
            </a:r>
          </a:p>
        </xdr:txBody>
      </xdr:sp>
      <xdr:sp macro="" textlink="">
        <xdr:nvSpPr>
          <xdr:cNvPr id="7" name="Rektangel 6">
            <a:hlinkClick xmlns:r="http://schemas.openxmlformats.org/officeDocument/2006/relationships" r:id="rId4"/>
            <a:extLst>
              <a:ext uri="{FF2B5EF4-FFF2-40B4-BE49-F238E27FC236}">
                <a16:creationId xmlns:a16="http://schemas.microsoft.com/office/drawing/2014/main" id="{4E8F1127-7D70-1525-25DA-031131B32772}"/>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8" name="Rektangel 7">
            <a:hlinkClick xmlns:r="http://schemas.openxmlformats.org/officeDocument/2006/relationships" r:id="rId5"/>
            <a:extLst>
              <a:ext uri="{FF2B5EF4-FFF2-40B4-BE49-F238E27FC236}">
                <a16:creationId xmlns:a16="http://schemas.microsoft.com/office/drawing/2014/main" id="{CFDBCAC7-68B5-E236-7A67-A88EAE5D9A79}"/>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9" name="Rektangel 8">
            <a:hlinkClick xmlns:r="http://schemas.openxmlformats.org/officeDocument/2006/relationships" r:id="rId6"/>
            <a:extLst>
              <a:ext uri="{FF2B5EF4-FFF2-40B4-BE49-F238E27FC236}">
                <a16:creationId xmlns:a16="http://schemas.microsoft.com/office/drawing/2014/main" id="{AA6DB3D5-34E2-3563-31C9-0B70F5A32C10}"/>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10" name="Rektangel 9">
            <a:hlinkClick xmlns:r="http://schemas.openxmlformats.org/officeDocument/2006/relationships" r:id="rId7"/>
            <a:extLst>
              <a:ext uri="{FF2B5EF4-FFF2-40B4-BE49-F238E27FC236}">
                <a16:creationId xmlns:a16="http://schemas.microsoft.com/office/drawing/2014/main" id="{B8084D1C-413A-B207-9AF1-AEF0FAD2275A}"/>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11" name="Rektangel 10">
            <a:hlinkClick xmlns:r="http://schemas.openxmlformats.org/officeDocument/2006/relationships" r:id="rId8"/>
            <a:extLst>
              <a:ext uri="{FF2B5EF4-FFF2-40B4-BE49-F238E27FC236}">
                <a16:creationId xmlns:a16="http://schemas.microsoft.com/office/drawing/2014/main" id="{393C9709-488C-1610-179D-203377548ED5}"/>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12" name="Rektangel 11">
            <a:extLst>
              <a:ext uri="{FF2B5EF4-FFF2-40B4-BE49-F238E27FC236}">
                <a16:creationId xmlns:a16="http://schemas.microsoft.com/office/drawing/2014/main" id="{57F69A2E-05D7-E875-6299-97B8CE52582B}"/>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13" name="Rektangel 12">
            <a:hlinkClick xmlns:r="http://schemas.openxmlformats.org/officeDocument/2006/relationships" r:id="rId9"/>
            <a:extLst>
              <a:ext uri="{FF2B5EF4-FFF2-40B4-BE49-F238E27FC236}">
                <a16:creationId xmlns:a16="http://schemas.microsoft.com/office/drawing/2014/main" id="{51AC263D-5175-631E-1883-3A5B34820344}"/>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A2</a:t>
            </a:r>
          </a:p>
        </xdr:txBody>
      </xdr:sp>
      <xdr:sp macro="" textlink="">
        <xdr:nvSpPr>
          <xdr:cNvPr id="14" name="Rektangel 13">
            <a:hlinkClick xmlns:r="http://schemas.openxmlformats.org/officeDocument/2006/relationships" r:id="rId10"/>
            <a:extLst>
              <a:ext uri="{FF2B5EF4-FFF2-40B4-BE49-F238E27FC236}">
                <a16:creationId xmlns:a16="http://schemas.microsoft.com/office/drawing/2014/main" id="{9196F9AF-64EB-91E1-4B34-BF9D6C0D70F8}"/>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A3</a:t>
            </a:r>
          </a:p>
        </xdr:txBody>
      </xdr:sp>
      <xdr:sp macro="" textlink="">
        <xdr:nvSpPr>
          <xdr:cNvPr id="15" name="Rektangel 14">
            <a:hlinkClick xmlns:r="http://schemas.openxmlformats.org/officeDocument/2006/relationships" r:id="rId11"/>
            <a:extLst>
              <a:ext uri="{FF2B5EF4-FFF2-40B4-BE49-F238E27FC236}">
                <a16:creationId xmlns:a16="http://schemas.microsoft.com/office/drawing/2014/main" id="{4C8D2B3D-2838-996B-5F2E-6B42712D3A5E}"/>
              </a:ext>
            </a:extLst>
          </xdr:cNvPr>
          <xdr:cNvSpPr/>
        </xdr:nvSpPr>
        <xdr:spPr bwMode="auto">
          <a:xfrm>
            <a:off x="4095750" y="1076325"/>
            <a:ext cx="928301"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A4</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85725</xdr:colOff>
      <xdr:row>0</xdr:row>
      <xdr:rowOff>95250</xdr:rowOff>
    </xdr:from>
    <xdr:to>
      <xdr:col>5</xdr:col>
      <xdr:colOff>418782</xdr:colOff>
      <xdr:row>4</xdr:row>
      <xdr:rowOff>101486</xdr:rowOff>
    </xdr:to>
    <xdr:pic>
      <xdr:nvPicPr>
        <xdr:cNvPr id="2" name="Bildobjekt 1">
          <a:extLst>
            <a:ext uri="{FF2B5EF4-FFF2-40B4-BE49-F238E27FC236}">
              <a16:creationId xmlns:a16="http://schemas.microsoft.com/office/drawing/2014/main" id="{00B44006-FDB5-45A2-A916-A55A1A9898BA}"/>
            </a:ext>
          </a:extLst>
        </xdr:cNvPr>
        <xdr:cNvPicPr>
          <a:picLocks noChangeAspect="1"/>
        </xdr:cNvPicPr>
      </xdr:nvPicPr>
      <xdr:blipFill>
        <a:blip xmlns:r="http://schemas.openxmlformats.org/officeDocument/2006/relationships" r:embed="rId1"/>
        <a:stretch>
          <a:fillRect/>
        </a:stretch>
      </xdr:blipFill>
      <xdr:spPr>
        <a:xfrm>
          <a:off x="638175" y="95250"/>
          <a:ext cx="2542857" cy="914286"/>
        </a:xfrm>
        <a:prstGeom prst="rect">
          <a:avLst/>
        </a:prstGeom>
      </xdr:spPr>
    </xdr:pic>
    <xdr:clientData/>
  </xdr:twoCellAnchor>
  <xdr:twoCellAnchor>
    <xdr:from>
      <xdr:col>0</xdr:col>
      <xdr:colOff>0</xdr:colOff>
      <xdr:row>4</xdr:row>
      <xdr:rowOff>152400</xdr:rowOff>
    </xdr:from>
    <xdr:to>
      <xdr:col>11</xdr:col>
      <xdr:colOff>1962151</xdr:colOff>
      <xdr:row>5</xdr:row>
      <xdr:rowOff>505275</xdr:rowOff>
    </xdr:to>
    <xdr:grpSp>
      <xdr:nvGrpSpPr>
        <xdr:cNvPr id="15" name="Grupp 14">
          <a:extLst>
            <a:ext uri="{FF2B5EF4-FFF2-40B4-BE49-F238E27FC236}">
              <a16:creationId xmlns:a16="http://schemas.microsoft.com/office/drawing/2014/main" id="{778D1528-5C65-49B6-97CF-2C219A6CD84F}"/>
            </a:ext>
          </a:extLst>
        </xdr:cNvPr>
        <xdr:cNvGrpSpPr/>
      </xdr:nvGrpSpPr>
      <xdr:grpSpPr>
        <a:xfrm>
          <a:off x="0" y="1066800"/>
          <a:ext cx="14163676" cy="514800"/>
          <a:chOff x="0" y="1076325"/>
          <a:chExt cx="12496801" cy="514800"/>
        </a:xfrm>
      </xdr:grpSpPr>
      <xdr:sp macro="" textlink="">
        <xdr:nvSpPr>
          <xdr:cNvPr id="16" name="Rektangel 15">
            <a:hlinkClick xmlns:r="http://schemas.openxmlformats.org/officeDocument/2006/relationships" r:id="rId2"/>
            <a:extLst>
              <a:ext uri="{FF2B5EF4-FFF2-40B4-BE49-F238E27FC236}">
                <a16:creationId xmlns:a16="http://schemas.microsoft.com/office/drawing/2014/main" id="{54493D86-AB00-D590-E03A-4BC6A7DBA423}"/>
              </a:ext>
            </a:extLst>
          </xdr:cNvPr>
          <xdr:cNvSpPr/>
        </xdr:nvSpPr>
        <xdr:spPr bwMode="auto">
          <a:xfrm>
            <a:off x="386634" y="1076325"/>
            <a:ext cx="112784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17" name="Rektangel 16">
            <a:hlinkClick xmlns:r="http://schemas.openxmlformats.org/officeDocument/2006/relationships" r:id="rId3"/>
            <a:extLst>
              <a:ext uri="{FF2B5EF4-FFF2-40B4-BE49-F238E27FC236}">
                <a16:creationId xmlns:a16="http://schemas.microsoft.com/office/drawing/2014/main" id="{621E04B0-575D-7DBF-E86D-C1C58BE7A497}"/>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A1</a:t>
            </a:r>
          </a:p>
        </xdr:txBody>
      </xdr:sp>
      <xdr:sp macro="" textlink="">
        <xdr:nvSpPr>
          <xdr:cNvPr id="18" name="Rektangel 17">
            <a:hlinkClick xmlns:r="http://schemas.openxmlformats.org/officeDocument/2006/relationships" r:id="rId4"/>
            <a:extLst>
              <a:ext uri="{FF2B5EF4-FFF2-40B4-BE49-F238E27FC236}">
                <a16:creationId xmlns:a16="http://schemas.microsoft.com/office/drawing/2014/main" id="{DEA1C151-FC08-2856-B566-8B5D59A41888}"/>
              </a:ext>
            </a:extLst>
          </xdr:cNvPr>
          <xdr:cNvSpPr/>
        </xdr:nvSpPr>
        <xdr:spPr bwMode="auto">
          <a:xfrm>
            <a:off x="4952999" y="1076325"/>
            <a:ext cx="1314451"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19" name="Rektangel 18">
            <a:hlinkClick xmlns:r="http://schemas.openxmlformats.org/officeDocument/2006/relationships" r:id="rId5"/>
            <a:extLst>
              <a:ext uri="{FF2B5EF4-FFF2-40B4-BE49-F238E27FC236}">
                <a16:creationId xmlns:a16="http://schemas.microsoft.com/office/drawing/2014/main" id="{143439B7-FD6E-F7A4-4995-448687889592}"/>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20" name="Rektangel 19">
            <a:hlinkClick xmlns:r="http://schemas.openxmlformats.org/officeDocument/2006/relationships" r:id="rId6"/>
            <a:extLst>
              <a:ext uri="{FF2B5EF4-FFF2-40B4-BE49-F238E27FC236}">
                <a16:creationId xmlns:a16="http://schemas.microsoft.com/office/drawing/2014/main" id="{30F321AC-E542-94AD-9CDF-A435D176F032}"/>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21" name="Rektangel 20">
            <a:hlinkClick xmlns:r="http://schemas.openxmlformats.org/officeDocument/2006/relationships" r:id="rId7"/>
            <a:extLst>
              <a:ext uri="{FF2B5EF4-FFF2-40B4-BE49-F238E27FC236}">
                <a16:creationId xmlns:a16="http://schemas.microsoft.com/office/drawing/2014/main" id="{296E5C90-3CE7-0916-3C2B-5FA7E0823300}"/>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22" name="Rektangel 21">
            <a:hlinkClick xmlns:r="http://schemas.openxmlformats.org/officeDocument/2006/relationships" r:id="rId8"/>
            <a:extLst>
              <a:ext uri="{FF2B5EF4-FFF2-40B4-BE49-F238E27FC236}">
                <a16:creationId xmlns:a16="http://schemas.microsoft.com/office/drawing/2014/main" id="{09C9F8D6-8768-0C6E-09C9-773A3E60C4A1}"/>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23" name="Rektangel 22">
            <a:extLst>
              <a:ext uri="{FF2B5EF4-FFF2-40B4-BE49-F238E27FC236}">
                <a16:creationId xmlns:a16="http://schemas.microsoft.com/office/drawing/2014/main" id="{8600D663-5DD5-1883-CCDD-FDE3536D2539}"/>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24" name="Rektangel 23">
            <a:hlinkClick xmlns:r="http://schemas.openxmlformats.org/officeDocument/2006/relationships" r:id="rId9"/>
            <a:extLst>
              <a:ext uri="{FF2B5EF4-FFF2-40B4-BE49-F238E27FC236}">
                <a16:creationId xmlns:a16="http://schemas.microsoft.com/office/drawing/2014/main" id="{04C3BC51-9669-598A-0022-190100E3A58B}"/>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A2</a:t>
            </a:r>
          </a:p>
        </xdr:txBody>
      </xdr:sp>
      <xdr:sp macro="" textlink="">
        <xdr:nvSpPr>
          <xdr:cNvPr id="25" name="Rektangel 24">
            <a:hlinkClick xmlns:r="http://schemas.openxmlformats.org/officeDocument/2006/relationships" r:id="rId10"/>
            <a:extLst>
              <a:ext uri="{FF2B5EF4-FFF2-40B4-BE49-F238E27FC236}">
                <a16:creationId xmlns:a16="http://schemas.microsoft.com/office/drawing/2014/main" id="{3C012C69-7967-2D3D-B249-53F9E34F377A}"/>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A3</a:t>
            </a:r>
          </a:p>
        </xdr:txBody>
      </xdr:sp>
      <xdr:sp macro="" textlink="">
        <xdr:nvSpPr>
          <xdr:cNvPr id="26" name="Rektangel 25">
            <a:hlinkClick xmlns:r="http://schemas.openxmlformats.org/officeDocument/2006/relationships" r:id="rId11"/>
            <a:extLst>
              <a:ext uri="{FF2B5EF4-FFF2-40B4-BE49-F238E27FC236}">
                <a16:creationId xmlns:a16="http://schemas.microsoft.com/office/drawing/2014/main" id="{93139114-EE91-D1EA-7A99-B4BA7FB679BD}"/>
              </a:ext>
            </a:extLst>
          </xdr:cNvPr>
          <xdr:cNvSpPr/>
        </xdr:nvSpPr>
        <xdr:spPr bwMode="auto">
          <a:xfrm>
            <a:off x="4095750" y="1076325"/>
            <a:ext cx="9283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A4</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85725</xdr:colOff>
      <xdr:row>0</xdr:row>
      <xdr:rowOff>95250</xdr:rowOff>
    </xdr:from>
    <xdr:to>
      <xdr:col>5</xdr:col>
      <xdr:colOff>418782</xdr:colOff>
      <xdr:row>4</xdr:row>
      <xdr:rowOff>96406</xdr:rowOff>
    </xdr:to>
    <xdr:pic>
      <xdr:nvPicPr>
        <xdr:cNvPr id="2" name="Bildobjekt 1">
          <a:extLst>
            <a:ext uri="{FF2B5EF4-FFF2-40B4-BE49-F238E27FC236}">
              <a16:creationId xmlns:a16="http://schemas.microsoft.com/office/drawing/2014/main" id="{62AE12FB-A232-4333-971B-0E22F135CD27}"/>
            </a:ext>
          </a:extLst>
        </xdr:cNvPr>
        <xdr:cNvPicPr>
          <a:picLocks noChangeAspect="1"/>
        </xdr:cNvPicPr>
      </xdr:nvPicPr>
      <xdr:blipFill>
        <a:blip xmlns:r="http://schemas.openxmlformats.org/officeDocument/2006/relationships" r:embed="rId1"/>
        <a:stretch>
          <a:fillRect/>
        </a:stretch>
      </xdr:blipFill>
      <xdr:spPr>
        <a:xfrm>
          <a:off x="638175" y="95250"/>
          <a:ext cx="2542857" cy="914286"/>
        </a:xfrm>
        <a:prstGeom prst="rect">
          <a:avLst/>
        </a:prstGeom>
      </xdr:spPr>
    </xdr:pic>
    <xdr:clientData/>
  </xdr:twoCellAnchor>
  <xdr:twoCellAnchor>
    <xdr:from>
      <xdr:col>0</xdr:col>
      <xdr:colOff>0</xdr:colOff>
      <xdr:row>4</xdr:row>
      <xdr:rowOff>152400</xdr:rowOff>
    </xdr:from>
    <xdr:to>
      <xdr:col>15</xdr:col>
      <xdr:colOff>1</xdr:colOff>
      <xdr:row>5</xdr:row>
      <xdr:rowOff>505275</xdr:rowOff>
    </xdr:to>
    <xdr:grpSp>
      <xdr:nvGrpSpPr>
        <xdr:cNvPr id="15" name="Grupp 14">
          <a:extLst>
            <a:ext uri="{FF2B5EF4-FFF2-40B4-BE49-F238E27FC236}">
              <a16:creationId xmlns:a16="http://schemas.microsoft.com/office/drawing/2014/main" id="{F1D1CF85-DD3F-482E-8E13-25F53B18CEA8}"/>
            </a:ext>
          </a:extLst>
        </xdr:cNvPr>
        <xdr:cNvGrpSpPr/>
      </xdr:nvGrpSpPr>
      <xdr:grpSpPr>
        <a:xfrm>
          <a:off x="0" y="1080052"/>
          <a:ext cx="15157175" cy="518527"/>
          <a:chOff x="0" y="1076325"/>
          <a:chExt cx="12496801" cy="514800"/>
        </a:xfrm>
      </xdr:grpSpPr>
      <xdr:sp macro="" textlink="">
        <xdr:nvSpPr>
          <xdr:cNvPr id="16" name="Rektangel 15">
            <a:hlinkClick xmlns:r="http://schemas.openxmlformats.org/officeDocument/2006/relationships" r:id="rId2"/>
            <a:extLst>
              <a:ext uri="{FF2B5EF4-FFF2-40B4-BE49-F238E27FC236}">
                <a16:creationId xmlns:a16="http://schemas.microsoft.com/office/drawing/2014/main" id="{9DCD43C7-AE0C-F04C-74AE-0C8C7149A0FF}"/>
              </a:ext>
            </a:extLst>
          </xdr:cNvPr>
          <xdr:cNvSpPr/>
        </xdr:nvSpPr>
        <xdr:spPr bwMode="auto">
          <a:xfrm>
            <a:off x="386634" y="1076325"/>
            <a:ext cx="112784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17" name="Rektangel 16">
            <a:hlinkClick xmlns:r="http://schemas.openxmlformats.org/officeDocument/2006/relationships" r:id="rId3"/>
            <a:extLst>
              <a:ext uri="{FF2B5EF4-FFF2-40B4-BE49-F238E27FC236}">
                <a16:creationId xmlns:a16="http://schemas.microsoft.com/office/drawing/2014/main" id="{469FE5B4-2FCB-AE7F-F0A1-7205CFAE8521}"/>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A1</a:t>
            </a:r>
          </a:p>
        </xdr:txBody>
      </xdr:sp>
      <xdr:sp macro="" textlink="">
        <xdr:nvSpPr>
          <xdr:cNvPr id="18" name="Rektangel 17">
            <a:hlinkClick xmlns:r="http://schemas.openxmlformats.org/officeDocument/2006/relationships" r:id="rId4"/>
            <a:extLst>
              <a:ext uri="{FF2B5EF4-FFF2-40B4-BE49-F238E27FC236}">
                <a16:creationId xmlns:a16="http://schemas.microsoft.com/office/drawing/2014/main" id="{9AF63491-B495-18F3-3E14-F729C4751801}"/>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19" name="Rektangel 18">
            <a:hlinkClick xmlns:r="http://schemas.openxmlformats.org/officeDocument/2006/relationships" r:id="rId5"/>
            <a:extLst>
              <a:ext uri="{FF2B5EF4-FFF2-40B4-BE49-F238E27FC236}">
                <a16:creationId xmlns:a16="http://schemas.microsoft.com/office/drawing/2014/main" id="{0EE7118B-5B42-1DE0-233C-247F003240A5}"/>
              </a:ext>
            </a:extLst>
          </xdr:cNvPr>
          <xdr:cNvSpPr/>
        </xdr:nvSpPr>
        <xdr:spPr bwMode="auto">
          <a:xfrm>
            <a:off x="6276973" y="1076325"/>
            <a:ext cx="1838327"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20" name="Rektangel 19">
            <a:hlinkClick xmlns:r="http://schemas.openxmlformats.org/officeDocument/2006/relationships" r:id="rId6"/>
            <a:extLst>
              <a:ext uri="{FF2B5EF4-FFF2-40B4-BE49-F238E27FC236}">
                <a16:creationId xmlns:a16="http://schemas.microsoft.com/office/drawing/2014/main" id="{DD3365D8-A3F9-4BC5-F8FE-45A9623B54A6}"/>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21" name="Rektangel 20">
            <a:hlinkClick xmlns:r="http://schemas.openxmlformats.org/officeDocument/2006/relationships" r:id="rId7"/>
            <a:extLst>
              <a:ext uri="{FF2B5EF4-FFF2-40B4-BE49-F238E27FC236}">
                <a16:creationId xmlns:a16="http://schemas.microsoft.com/office/drawing/2014/main" id="{59FC59E8-3F9C-D72D-F2C0-7679D2642A8B}"/>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22" name="Rektangel 21">
            <a:hlinkClick xmlns:r="http://schemas.openxmlformats.org/officeDocument/2006/relationships" r:id="rId8"/>
            <a:extLst>
              <a:ext uri="{FF2B5EF4-FFF2-40B4-BE49-F238E27FC236}">
                <a16:creationId xmlns:a16="http://schemas.microsoft.com/office/drawing/2014/main" id="{81561D96-F407-137C-647F-AB75E89223C3}"/>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23" name="Rektangel 22">
            <a:extLst>
              <a:ext uri="{FF2B5EF4-FFF2-40B4-BE49-F238E27FC236}">
                <a16:creationId xmlns:a16="http://schemas.microsoft.com/office/drawing/2014/main" id="{FAD7E4E3-F684-C14F-82E3-A157B736E76A}"/>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24" name="Rektangel 23">
            <a:hlinkClick xmlns:r="http://schemas.openxmlformats.org/officeDocument/2006/relationships" r:id="rId9"/>
            <a:extLst>
              <a:ext uri="{FF2B5EF4-FFF2-40B4-BE49-F238E27FC236}">
                <a16:creationId xmlns:a16="http://schemas.microsoft.com/office/drawing/2014/main" id="{F7B3AC62-D0F5-8865-268F-D360F20ACAC0}"/>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A2</a:t>
            </a:r>
          </a:p>
        </xdr:txBody>
      </xdr:sp>
      <xdr:sp macro="" textlink="">
        <xdr:nvSpPr>
          <xdr:cNvPr id="25" name="Rektangel 24">
            <a:hlinkClick xmlns:r="http://schemas.openxmlformats.org/officeDocument/2006/relationships" r:id="rId10"/>
            <a:extLst>
              <a:ext uri="{FF2B5EF4-FFF2-40B4-BE49-F238E27FC236}">
                <a16:creationId xmlns:a16="http://schemas.microsoft.com/office/drawing/2014/main" id="{2C421E74-2D24-E28E-8C8B-F981FCAC31BA}"/>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A3</a:t>
            </a:r>
          </a:p>
        </xdr:txBody>
      </xdr:sp>
      <xdr:sp macro="" textlink="">
        <xdr:nvSpPr>
          <xdr:cNvPr id="26" name="Rektangel 25">
            <a:hlinkClick xmlns:r="http://schemas.openxmlformats.org/officeDocument/2006/relationships" r:id="rId11"/>
            <a:extLst>
              <a:ext uri="{FF2B5EF4-FFF2-40B4-BE49-F238E27FC236}">
                <a16:creationId xmlns:a16="http://schemas.microsoft.com/office/drawing/2014/main" id="{457FB614-8D48-FD29-66E0-F6D5419A68D1}"/>
              </a:ext>
            </a:extLst>
          </xdr:cNvPr>
          <xdr:cNvSpPr/>
        </xdr:nvSpPr>
        <xdr:spPr bwMode="auto">
          <a:xfrm>
            <a:off x="4095750" y="1076325"/>
            <a:ext cx="9283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A4</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85725</xdr:colOff>
      <xdr:row>0</xdr:row>
      <xdr:rowOff>95250</xdr:rowOff>
    </xdr:from>
    <xdr:to>
      <xdr:col>5</xdr:col>
      <xdr:colOff>418782</xdr:colOff>
      <xdr:row>4</xdr:row>
      <xdr:rowOff>97676</xdr:rowOff>
    </xdr:to>
    <xdr:pic>
      <xdr:nvPicPr>
        <xdr:cNvPr id="2" name="Bildobjekt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38175" y="95250"/>
          <a:ext cx="2542857" cy="914286"/>
        </a:xfrm>
        <a:prstGeom prst="rect">
          <a:avLst/>
        </a:prstGeom>
      </xdr:spPr>
    </xdr:pic>
    <xdr:clientData/>
  </xdr:twoCellAnchor>
  <xdr:twoCellAnchor>
    <xdr:from>
      <xdr:col>0</xdr:col>
      <xdr:colOff>0</xdr:colOff>
      <xdr:row>5</xdr:row>
      <xdr:rowOff>0</xdr:rowOff>
    </xdr:from>
    <xdr:to>
      <xdr:col>11</xdr:col>
      <xdr:colOff>866776</xdr:colOff>
      <xdr:row>5</xdr:row>
      <xdr:rowOff>514800</xdr:rowOff>
    </xdr:to>
    <xdr:grpSp>
      <xdr:nvGrpSpPr>
        <xdr:cNvPr id="23" name="Grupp 22">
          <a:extLst>
            <a:ext uri="{FF2B5EF4-FFF2-40B4-BE49-F238E27FC236}">
              <a16:creationId xmlns:a16="http://schemas.microsoft.com/office/drawing/2014/main" id="{6C019782-6705-4A3A-A683-58974E2EC21A}"/>
            </a:ext>
          </a:extLst>
        </xdr:cNvPr>
        <xdr:cNvGrpSpPr/>
      </xdr:nvGrpSpPr>
      <xdr:grpSpPr>
        <a:xfrm>
          <a:off x="0" y="1076325"/>
          <a:ext cx="14868526" cy="514800"/>
          <a:chOff x="0" y="1076325"/>
          <a:chExt cx="12496801" cy="514800"/>
        </a:xfrm>
      </xdr:grpSpPr>
      <xdr:sp macro="" textlink="">
        <xdr:nvSpPr>
          <xdr:cNvPr id="24" name="Rektangel 23">
            <a:hlinkClick xmlns:r="http://schemas.openxmlformats.org/officeDocument/2006/relationships" r:id="rId2"/>
            <a:extLst>
              <a:ext uri="{FF2B5EF4-FFF2-40B4-BE49-F238E27FC236}">
                <a16:creationId xmlns:a16="http://schemas.microsoft.com/office/drawing/2014/main" id="{3F00DF91-A897-BF72-C197-B9CBA25701D0}"/>
              </a:ext>
            </a:extLst>
          </xdr:cNvPr>
          <xdr:cNvSpPr/>
        </xdr:nvSpPr>
        <xdr:spPr bwMode="auto">
          <a:xfrm>
            <a:off x="386634" y="1076325"/>
            <a:ext cx="112784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25" name="Rektangel 24">
            <a:hlinkClick xmlns:r="http://schemas.openxmlformats.org/officeDocument/2006/relationships" r:id="rId3"/>
            <a:extLst>
              <a:ext uri="{FF2B5EF4-FFF2-40B4-BE49-F238E27FC236}">
                <a16:creationId xmlns:a16="http://schemas.microsoft.com/office/drawing/2014/main" id="{D83713FE-CC6D-2D14-1110-CEAC3DB628F7}"/>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A1</a:t>
            </a:r>
          </a:p>
        </xdr:txBody>
      </xdr:sp>
      <xdr:sp macro="" textlink="">
        <xdr:nvSpPr>
          <xdr:cNvPr id="26" name="Rektangel 25">
            <a:hlinkClick xmlns:r="http://schemas.openxmlformats.org/officeDocument/2006/relationships" r:id="rId4"/>
            <a:extLst>
              <a:ext uri="{FF2B5EF4-FFF2-40B4-BE49-F238E27FC236}">
                <a16:creationId xmlns:a16="http://schemas.microsoft.com/office/drawing/2014/main" id="{6A7AC09E-3708-9471-D5D3-6086BCDD3A7F}"/>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27" name="Rektangel 26">
            <a:hlinkClick xmlns:r="http://schemas.openxmlformats.org/officeDocument/2006/relationships" r:id="rId5"/>
            <a:extLst>
              <a:ext uri="{FF2B5EF4-FFF2-40B4-BE49-F238E27FC236}">
                <a16:creationId xmlns:a16="http://schemas.microsoft.com/office/drawing/2014/main" id="{A916FBBB-002F-AFE2-6E83-F70A26E32189}"/>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28" name="Rektangel 27">
            <a:hlinkClick xmlns:r="http://schemas.openxmlformats.org/officeDocument/2006/relationships" r:id="rId6"/>
            <a:extLst>
              <a:ext uri="{FF2B5EF4-FFF2-40B4-BE49-F238E27FC236}">
                <a16:creationId xmlns:a16="http://schemas.microsoft.com/office/drawing/2014/main" id="{13E63502-DFAA-E3A6-2D42-6DF5C25FE789}"/>
              </a:ext>
            </a:extLst>
          </xdr:cNvPr>
          <xdr:cNvSpPr/>
        </xdr:nvSpPr>
        <xdr:spPr bwMode="auto">
          <a:xfrm>
            <a:off x="8124824" y="1076325"/>
            <a:ext cx="2047876"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29" name="Rektangel 28">
            <a:hlinkClick xmlns:r="http://schemas.openxmlformats.org/officeDocument/2006/relationships" r:id="rId7"/>
            <a:extLst>
              <a:ext uri="{FF2B5EF4-FFF2-40B4-BE49-F238E27FC236}">
                <a16:creationId xmlns:a16="http://schemas.microsoft.com/office/drawing/2014/main" id="{95149FDD-453D-7201-62CB-AC505E51379D}"/>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30" name="Rektangel 29">
            <a:hlinkClick xmlns:r="http://schemas.openxmlformats.org/officeDocument/2006/relationships" r:id="rId8"/>
            <a:extLst>
              <a:ext uri="{FF2B5EF4-FFF2-40B4-BE49-F238E27FC236}">
                <a16:creationId xmlns:a16="http://schemas.microsoft.com/office/drawing/2014/main" id="{3334C960-2B05-4610-512C-0C6E848CCAFE}"/>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31" name="Rektangel 30">
            <a:extLst>
              <a:ext uri="{FF2B5EF4-FFF2-40B4-BE49-F238E27FC236}">
                <a16:creationId xmlns:a16="http://schemas.microsoft.com/office/drawing/2014/main" id="{4AFE218F-F976-AC25-A008-6E2AFBB163E9}"/>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32" name="Rektangel 31">
            <a:hlinkClick xmlns:r="http://schemas.openxmlformats.org/officeDocument/2006/relationships" r:id="rId9"/>
            <a:extLst>
              <a:ext uri="{FF2B5EF4-FFF2-40B4-BE49-F238E27FC236}">
                <a16:creationId xmlns:a16="http://schemas.microsoft.com/office/drawing/2014/main" id="{3CC1BBEE-56FF-B75D-5021-03164F7E7FFC}"/>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A2</a:t>
            </a:r>
          </a:p>
        </xdr:txBody>
      </xdr:sp>
      <xdr:sp macro="" textlink="">
        <xdr:nvSpPr>
          <xdr:cNvPr id="33" name="Rektangel 32">
            <a:hlinkClick xmlns:r="http://schemas.openxmlformats.org/officeDocument/2006/relationships" r:id="rId10"/>
            <a:extLst>
              <a:ext uri="{FF2B5EF4-FFF2-40B4-BE49-F238E27FC236}">
                <a16:creationId xmlns:a16="http://schemas.microsoft.com/office/drawing/2014/main" id="{3F41C3C8-CE75-1F90-8DB7-1CEA5A68F886}"/>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A3</a:t>
            </a:r>
          </a:p>
        </xdr:txBody>
      </xdr:sp>
      <xdr:sp macro="" textlink="">
        <xdr:nvSpPr>
          <xdr:cNvPr id="34" name="Rektangel 33">
            <a:hlinkClick xmlns:r="http://schemas.openxmlformats.org/officeDocument/2006/relationships" r:id="rId11"/>
            <a:extLst>
              <a:ext uri="{FF2B5EF4-FFF2-40B4-BE49-F238E27FC236}">
                <a16:creationId xmlns:a16="http://schemas.microsoft.com/office/drawing/2014/main" id="{EFBF3C08-F133-BCA1-A88C-E6AC673E5498}"/>
              </a:ext>
            </a:extLst>
          </xdr:cNvPr>
          <xdr:cNvSpPr/>
        </xdr:nvSpPr>
        <xdr:spPr bwMode="auto">
          <a:xfrm>
            <a:off x="4095750" y="1076325"/>
            <a:ext cx="9283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A4</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85725</xdr:colOff>
      <xdr:row>0</xdr:row>
      <xdr:rowOff>95250</xdr:rowOff>
    </xdr:from>
    <xdr:to>
      <xdr:col>5</xdr:col>
      <xdr:colOff>418782</xdr:colOff>
      <xdr:row>4</xdr:row>
      <xdr:rowOff>9411</xdr:rowOff>
    </xdr:to>
    <xdr:pic>
      <xdr:nvPicPr>
        <xdr:cNvPr id="2" name="Bildobjekt 1">
          <a:extLst>
            <a:ext uri="{FF2B5EF4-FFF2-40B4-BE49-F238E27FC236}">
              <a16:creationId xmlns:a16="http://schemas.microsoft.com/office/drawing/2014/main" id="{B61EBE20-9582-48E7-A7FC-D0625D97E972}"/>
            </a:ext>
          </a:extLst>
        </xdr:cNvPr>
        <xdr:cNvPicPr>
          <a:picLocks noChangeAspect="1"/>
        </xdr:cNvPicPr>
      </xdr:nvPicPr>
      <xdr:blipFill>
        <a:blip xmlns:r="http://schemas.openxmlformats.org/officeDocument/2006/relationships" r:embed="rId1"/>
        <a:stretch>
          <a:fillRect/>
        </a:stretch>
      </xdr:blipFill>
      <xdr:spPr>
        <a:xfrm>
          <a:off x="638175" y="95250"/>
          <a:ext cx="2542857" cy="914286"/>
        </a:xfrm>
        <a:prstGeom prst="rect">
          <a:avLst/>
        </a:prstGeom>
      </xdr:spPr>
    </xdr:pic>
    <xdr:clientData/>
  </xdr:twoCellAnchor>
  <xdr:twoCellAnchor>
    <xdr:from>
      <xdr:col>1</xdr:col>
      <xdr:colOff>95811</xdr:colOff>
      <xdr:row>26</xdr:row>
      <xdr:rowOff>58830</xdr:rowOff>
    </xdr:from>
    <xdr:to>
      <xdr:col>20</xdr:col>
      <xdr:colOff>352425</xdr:colOff>
      <xdr:row>51</xdr:row>
      <xdr:rowOff>47625</xdr:rowOff>
    </xdr:to>
    <xdr:graphicFrame macro="">
      <xdr:nvGraphicFramePr>
        <xdr:cNvPr id="3" name="Diagram 2">
          <a:extLst>
            <a:ext uri="{FF2B5EF4-FFF2-40B4-BE49-F238E27FC236}">
              <a16:creationId xmlns:a16="http://schemas.microsoft.com/office/drawing/2014/main" id="{8E42A5AC-FBEA-4ACD-BA81-34D87E6D6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78440</xdr:colOff>
      <xdr:row>51</xdr:row>
      <xdr:rowOff>101413</xdr:rowOff>
    </xdr:from>
    <xdr:to>
      <xdr:col>20</xdr:col>
      <xdr:colOff>360828</xdr:colOff>
      <xdr:row>76</xdr:row>
      <xdr:rowOff>34738</xdr:rowOff>
    </xdr:to>
    <xdr:graphicFrame macro="">
      <xdr:nvGraphicFramePr>
        <xdr:cNvPr id="4" name="Diagram 3">
          <a:extLst>
            <a:ext uri="{FF2B5EF4-FFF2-40B4-BE49-F238E27FC236}">
              <a16:creationId xmlns:a16="http://schemas.microsoft.com/office/drawing/2014/main" id="{336DE470-EAE2-4B69-8271-680A37F30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xdr:row>
      <xdr:rowOff>0</xdr:rowOff>
    </xdr:from>
    <xdr:to>
      <xdr:col>22</xdr:col>
      <xdr:colOff>342901</xdr:colOff>
      <xdr:row>5</xdr:row>
      <xdr:rowOff>514800</xdr:rowOff>
    </xdr:to>
    <xdr:grpSp>
      <xdr:nvGrpSpPr>
        <xdr:cNvPr id="5" name="Grupp 4">
          <a:extLst>
            <a:ext uri="{FF2B5EF4-FFF2-40B4-BE49-F238E27FC236}">
              <a16:creationId xmlns:a16="http://schemas.microsoft.com/office/drawing/2014/main" id="{2D3D15BC-FC9F-4F11-8411-B496A9A8E6FC}"/>
            </a:ext>
          </a:extLst>
        </xdr:cNvPr>
        <xdr:cNvGrpSpPr/>
      </xdr:nvGrpSpPr>
      <xdr:grpSpPr>
        <a:xfrm>
          <a:off x="0" y="1162050"/>
          <a:ext cx="12706351" cy="514800"/>
          <a:chOff x="0" y="1076325"/>
          <a:chExt cx="12496801" cy="514800"/>
        </a:xfrm>
      </xdr:grpSpPr>
      <xdr:sp macro="" textlink="">
        <xdr:nvSpPr>
          <xdr:cNvPr id="6" name="Rektangel 5">
            <a:hlinkClick xmlns:r="http://schemas.openxmlformats.org/officeDocument/2006/relationships" r:id="rId4"/>
            <a:extLst>
              <a:ext uri="{FF2B5EF4-FFF2-40B4-BE49-F238E27FC236}">
                <a16:creationId xmlns:a16="http://schemas.microsoft.com/office/drawing/2014/main" id="{1DB785F6-FF0C-DDC5-6170-AEEA38316C33}"/>
              </a:ext>
            </a:extLst>
          </xdr:cNvPr>
          <xdr:cNvSpPr/>
        </xdr:nvSpPr>
        <xdr:spPr bwMode="auto">
          <a:xfrm>
            <a:off x="323850" y="1076325"/>
            <a:ext cx="11906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7" name="Rektangel 6">
            <a:hlinkClick xmlns:r="http://schemas.openxmlformats.org/officeDocument/2006/relationships" r:id="rId5"/>
            <a:extLst>
              <a:ext uri="{FF2B5EF4-FFF2-40B4-BE49-F238E27FC236}">
                <a16:creationId xmlns:a16="http://schemas.microsoft.com/office/drawing/2014/main" id="{686315A5-1557-9E73-BCBC-53D0B8528CF6}"/>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a:t>
            </a:r>
            <a:r>
              <a:rPr lang="sv-SE" sz="1600" b="1" baseline="0">
                <a:solidFill>
                  <a:schemeClr val="bg1"/>
                </a:solidFill>
                <a:latin typeface="Corbel" panose="020B0503020204020204" pitchFamily="34" charset="0"/>
              </a:rPr>
              <a:t> </a:t>
            </a:r>
            <a:r>
              <a:rPr lang="sv-SE" sz="1600" b="1">
                <a:solidFill>
                  <a:schemeClr val="bg1"/>
                </a:solidFill>
                <a:latin typeface="Corbel" panose="020B0503020204020204" pitchFamily="34" charset="0"/>
              </a:rPr>
              <a:t>A1</a:t>
            </a:r>
          </a:p>
        </xdr:txBody>
      </xdr:sp>
      <xdr:sp macro="" textlink="">
        <xdr:nvSpPr>
          <xdr:cNvPr id="8" name="Rektangel 7">
            <a:hlinkClick xmlns:r="http://schemas.openxmlformats.org/officeDocument/2006/relationships" r:id="rId6"/>
            <a:extLst>
              <a:ext uri="{FF2B5EF4-FFF2-40B4-BE49-F238E27FC236}">
                <a16:creationId xmlns:a16="http://schemas.microsoft.com/office/drawing/2014/main" id="{AE1A23C8-5F50-33CF-20E7-9887560A8D47}"/>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9" name="Rektangel 8">
            <a:hlinkClick xmlns:r="http://schemas.openxmlformats.org/officeDocument/2006/relationships" r:id="rId7"/>
            <a:extLst>
              <a:ext uri="{FF2B5EF4-FFF2-40B4-BE49-F238E27FC236}">
                <a16:creationId xmlns:a16="http://schemas.microsoft.com/office/drawing/2014/main" id="{70C26A15-2EF1-00DD-0E6C-3F0FC503B566}"/>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10" name="Rektangel 9">
            <a:hlinkClick xmlns:r="http://schemas.openxmlformats.org/officeDocument/2006/relationships" r:id="rId8"/>
            <a:extLst>
              <a:ext uri="{FF2B5EF4-FFF2-40B4-BE49-F238E27FC236}">
                <a16:creationId xmlns:a16="http://schemas.microsoft.com/office/drawing/2014/main" id="{F30D39F9-893B-375C-4B04-ADB6316FEE03}"/>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11" name="Rektangel 10">
            <a:hlinkClick xmlns:r="http://schemas.openxmlformats.org/officeDocument/2006/relationships" r:id="rId9"/>
            <a:extLst>
              <a:ext uri="{FF2B5EF4-FFF2-40B4-BE49-F238E27FC236}">
                <a16:creationId xmlns:a16="http://schemas.microsoft.com/office/drawing/2014/main" id="{D456585F-EA7B-DCB9-C7B6-7308511FCEBF}"/>
              </a:ext>
            </a:extLst>
          </xdr:cNvPr>
          <xdr:cNvSpPr/>
        </xdr:nvSpPr>
        <xdr:spPr bwMode="auto">
          <a:xfrm>
            <a:off x="10182224" y="1076325"/>
            <a:ext cx="952501"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12" name="Rektangel 11">
            <a:hlinkClick xmlns:r="http://schemas.openxmlformats.org/officeDocument/2006/relationships" r:id="rId10"/>
            <a:extLst>
              <a:ext uri="{FF2B5EF4-FFF2-40B4-BE49-F238E27FC236}">
                <a16:creationId xmlns:a16="http://schemas.microsoft.com/office/drawing/2014/main" id="{C6CBDA0A-0DF8-31FF-991E-8629A2A339A1}"/>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13" name="Rektangel 12">
            <a:extLst>
              <a:ext uri="{FF2B5EF4-FFF2-40B4-BE49-F238E27FC236}">
                <a16:creationId xmlns:a16="http://schemas.microsoft.com/office/drawing/2014/main" id="{9CDB6DE7-6FBB-1DB0-D5A2-EB8F5B228BD2}"/>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14" name="Rektangel 13">
            <a:hlinkClick xmlns:r="http://schemas.openxmlformats.org/officeDocument/2006/relationships" r:id="rId11"/>
            <a:extLst>
              <a:ext uri="{FF2B5EF4-FFF2-40B4-BE49-F238E27FC236}">
                <a16:creationId xmlns:a16="http://schemas.microsoft.com/office/drawing/2014/main" id="{3DC737D7-D4AD-9E81-7ED9-3913BF754B9E}"/>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A2</a:t>
            </a:r>
          </a:p>
        </xdr:txBody>
      </xdr:sp>
      <xdr:sp macro="" textlink="">
        <xdr:nvSpPr>
          <xdr:cNvPr id="15" name="Rektangel 14">
            <a:hlinkClick xmlns:r="http://schemas.openxmlformats.org/officeDocument/2006/relationships" r:id="rId12"/>
            <a:extLst>
              <a:ext uri="{FF2B5EF4-FFF2-40B4-BE49-F238E27FC236}">
                <a16:creationId xmlns:a16="http://schemas.microsoft.com/office/drawing/2014/main" id="{14812318-BFCD-E87F-997D-7BA468908D1C}"/>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A3</a:t>
            </a:r>
          </a:p>
        </xdr:txBody>
      </xdr:sp>
      <xdr:sp macro="" textlink="">
        <xdr:nvSpPr>
          <xdr:cNvPr id="16" name="Rektangel 15">
            <a:hlinkClick xmlns:r="http://schemas.openxmlformats.org/officeDocument/2006/relationships" r:id="rId13"/>
            <a:extLst>
              <a:ext uri="{FF2B5EF4-FFF2-40B4-BE49-F238E27FC236}">
                <a16:creationId xmlns:a16="http://schemas.microsoft.com/office/drawing/2014/main" id="{71C17DA2-C450-1635-F2C1-36901DDDD162}"/>
              </a:ext>
            </a:extLst>
          </xdr:cNvPr>
          <xdr:cNvSpPr/>
        </xdr:nvSpPr>
        <xdr:spPr bwMode="auto">
          <a:xfrm>
            <a:off x="40957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A4</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85725</xdr:colOff>
      <xdr:row>0</xdr:row>
      <xdr:rowOff>95250</xdr:rowOff>
    </xdr:from>
    <xdr:to>
      <xdr:col>5</xdr:col>
      <xdr:colOff>418782</xdr:colOff>
      <xdr:row>4</xdr:row>
      <xdr:rowOff>95136</xdr:rowOff>
    </xdr:to>
    <xdr:pic>
      <xdr:nvPicPr>
        <xdr:cNvPr id="2" name="Bildobjekt 1">
          <a:extLst>
            <a:ext uri="{FF2B5EF4-FFF2-40B4-BE49-F238E27FC236}">
              <a16:creationId xmlns:a16="http://schemas.microsoft.com/office/drawing/2014/main" id="{09807CBC-AD07-4D5E-86F4-512C67BB5FF5}"/>
            </a:ext>
          </a:extLst>
        </xdr:cNvPr>
        <xdr:cNvPicPr>
          <a:picLocks noChangeAspect="1"/>
        </xdr:cNvPicPr>
      </xdr:nvPicPr>
      <xdr:blipFill>
        <a:blip xmlns:r="http://schemas.openxmlformats.org/officeDocument/2006/relationships" r:embed="rId1"/>
        <a:stretch>
          <a:fillRect/>
        </a:stretch>
      </xdr:blipFill>
      <xdr:spPr>
        <a:xfrm>
          <a:off x="638175" y="95250"/>
          <a:ext cx="2542857" cy="914286"/>
        </a:xfrm>
        <a:prstGeom prst="rect">
          <a:avLst/>
        </a:prstGeom>
      </xdr:spPr>
    </xdr:pic>
    <xdr:clientData/>
  </xdr:twoCellAnchor>
  <xdr:twoCellAnchor>
    <xdr:from>
      <xdr:col>0</xdr:col>
      <xdr:colOff>0</xdr:colOff>
      <xdr:row>5</xdr:row>
      <xdr:rowOff>0</xdr:rowOff>
    </xdr:from>
    <xdr:to>
      <xdr:col>22</xdr:col>
      <xdr:colOff>342901</xdr:colOff>
      <xdr:row>5</xdr:row>
      <xdr:rowOff>514800</xdr:rowOff>
    </xdr:to>
    <xdr:grpSp>
      <xdr:nvGrpSpPr>
        <xdr:cNvPr id="3" name="Grupp 2">
          <a:extLst>
            <a:ext uri="{FF2B5EF4-FFF2-40B4-BE49-F238E27FC236}">
              <a16:creationId xmlns:a16="http://schemas.microsoft.com/office/drawing/2014/main" id="{525BE628-06C8-4DB6-8F8E-04F207E08DE9}"/>
            </a:ext>
          </a:extLst>
        </xdr:cNvPr>
        <xdr:cNvGrpSpPr/>
      </xdr:nvGrpSpPr>
      <xdr:grpSpPr>
        <a:xfrm>
          <a:off x="0" y="1076325"/>
          <a:ext cx="12706351" cy="514800"/>
          <a:chOff x="0" y="1076325"/>
          <a:chExt cx="12496801" cy="514800"/>
        </a:xfrm>
      </xdr:grpSpPr>
      <xdr:sp macro="" textlink="">
        <xdr:nvSpPr>
          <xdr:cNvPr id="4" name="Rektangel 3">
            <a:hlinkClick xmlns:r="http://schemas.openxmlformats.org/officeDocument/2006/relationships" r:id="rId2"/>
            <a:extLst>
              <a:ext uri="{FF2B5EF4-FFF2-40B4-BE49-F238E27FC236}">
                <a16:creationId xmlns:a16="http://schemas.microsoft.com/office/drawing/2014/main" id="{62C1C1BA-DCA9-A4DD-3B6C-3B472B1631C3}"/>
              </a:ext>
            </a:extLst>
          </xdr:cNvPr>
          <xdr:cNvSpPr/>
        </xdr:nvSpPr>
        <xdr:spPr bwMode="auto">
          <a:xfrm>
            <a:off x="88473" y="1076325"/>
            <a:ext cx="147761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5" name="Rektangel 4">
            <a:hlinkClick xmlns:r="http://schemas.openxmlformats.org/officeDocument/2006/relationships" r:id="rId3"/>
            <a:extLst>
              <a:ext uri="{FF2B5EF4-FFF2-40B4-BE49-F238E27FC236}">
                <a16:creationId xmlns:a16="http://schemas.microsoft.com/office/drawing/2014/main" id="{71C13735-4666-3CF7-B79D-FF0DB151D353}"/>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A1</a:t>
            </a:r>
          </a:p>
        </xdr:txBody>
      </xdr:sp>
      <xdr:sp macro="" textlink="">
        <xdr:nvSpPr>
          <xdr:cNvPr id="6" name="Rektangel 5">
            <a:hlinkClick xmlns:r="http://schemas.openxmlformats.org/officeDocument/2006/relationships" r:id="rId4"/>
            <a:extLst>
              <a:ext uri="{FF2B5EF4-FFF2-40B4-BE49-F238E27FC236}">
                <a16:creationId xmlns:a16="http://schemas.microsoft.com/office/drawing/2014/main" id="{EF589F2F-7EC3-8D3D-F2D2-79FAC529D78B}"/>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7" name="Rektangel 6">
            <a:hlinkClick xmlns:r="http://schemas.openxmlformats.org/officeDocument/2006/relationships" r:id="rId5"/>
            <a:extLst>
              <a:ext uri="{FF2B5EF4-FFF2-40B4-BE49-F238E27FC236}">
                <a16:creationId xmlns:a16="http://schemas.microsoft.com/office/drawing/2014/main" id="{39CA3E21-958B-FFB2-FC05-7B36E289381D}"/>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8" name="Rektangel 7">
            <a:hlinkClick xmlns:r="http://schemas.openxmlformats.org/officeDocument/2006/relationships" r:id="rId6"/>
            <a:extLst>
              <a:ext uri="{FF2B5EF4-FFF2-40B4-BE49-F238E27FC236}">
                <a16:creationId xmlns:a16="http://schemas.microsoft.com/office/drawing/2014/main" id="{D3902D7C-BA15-9001-BDB0-1FED04D0CC67}"/>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9" name="Rektangel 8">
            <a:hlinkClick xmlns:r="http://schemas.openxmlformats.org/officeDocument/2006/relationships" r:id="rId7"/>
            <a:extLst>
              <a:ext uri="{FF2B5EF4-FFF2-40B4-BE49-F238E27FC236}">
                <a16:creationId xmlns:a16="http://schemas.microsoft.com/office/drawing/2014/main" id="{0235D7C3-F15D-EB8F-608F-E32524A8ACE5}"/>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10" name="Rektangel 9">
            <a:hlinkClick xmlns:r="http://schemas.openxmlformats.org/officeDocument/2006/relationships" r:id="rId8"/>
            <a:extLst>
              <a:ext uri="{FF2B5EF4-FFF2-40B4-BE49-F238E27FC236}">
                <a16:creationId xmlns:a16="http://schemas.microsoft.com/office/drawing/2014/main" id="{DD8A1E6B-7DC5-E787-85D6-1BC29560E257}"/>
              </a:ext>
            </a:extLst>
          </xdr:cNvPr>
          <xdr:cNvSpPr/>
        </xdr:nvSpPr>
        <xdr:spPr bwMode="auto">
          <a:xfrm>
            <a:off x="11144249" y="1076325"/>
            <a:ext cx="1352552"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11" name="Rektangel 10">
            <a:extLst>
              <a:ext uri="{FF2B5EF4-FFF2-40B4-BE49-F238E27FC236}">
                <a16:creationId xmlns:a16="http://schemas.microsoft.com/office/drawing/2014/main" id="{F4F61D40-56B0-8735-4D5D-3C16C464468F}"/>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12" name="Rektangel 11">
            <a:hlinkClick xmlns:r="http://schemas.openxmlformats.org/officeDocument/2006/relationships" r:id="rId9"/>
            <a:extLst>
              <a:ext uri="{FF2B5EF4-FFF2-40B4-BE49-F238E27FC236}">
                <a16:creationId xmlns:a16="http://schemas.microsoft.com/office/drawing/2014/main" id="{372F0543-6377-F95D-5057-3BE5FE76A62A}"/>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A2</a:t>
            </a:r>
          </a:p>
        </xdr:txBody>
      </xdr:sp>
      <xdr:sp macro="" textlink="">
        <xdr:nvSpPr>
          <xdr:cNvPr id="13" name="Rektangel 12">
            <a:hlinkClick xmlns:r="http://schemas.openxmlformats.org/officeDocument/2006/relationships" r:id="rId10"/>
            <a:extLst>
              <a:ext uri="{FF2B5EF4-FFF2-40B4-BE49-F238E27FC236}">
                <a16:creationId xmlns:a16="http://schemas.microsoft.com/office/drawing/2014/main" id="{06C22D64-FA06-0D58-CF78-2D08FB238BC7}"/>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A3</a:t>
            </a:r>
          </a:p>
        </xdr:txBody>
      </xdr:sp>
      <xdr:sp macro="" textlink="">
        <xdr:nvSpPr>
          <xdr:cNvPr id="14" name="Rektangel 13">
            <a:hlinkClick xmlns:r="http://schemas.openxmlformats.org/officeDocument/2006/relationships" r:id="rId11"/>
            <a:extLst>
              <a:ext uri="{FF2B5EF4-FFF2-40B4-BE49-F238E27FC236}">
                <a16:creationId xmlns:a16="http://schemas.microsoft.com/office/drawing/2014/main" id="{393111FE-D10D-EC4D-1202-1E0BA8BA9486}"/>
              </a:ext>
            </a:extLst>
          </xdr:cNvPr>
          <xdr:cNvSpPr/>
        </xdr:nvSpPr>
        <xdr:spPr bwMode="auto">
          <a:xfrm>
            <a:off x="40957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A4</a:t>
            </a:r>
          </a:p>
        </xdr:txBody>
      </xdr:sp>
    </xdr:grpSp>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upphandlingsmyndigheten.se/om-hallbar-upphandling/ekonomiskt-hallbar-upphandling/lcc-for-langsiktigt-hallbara-inkop/"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hyperlink" Target="https://eur02.safelinks.protection.outlook.com/?url=https%3A%2F%2Fei.se%2Fbransch%2Fursprungsmarkning-av-el%2Fresidualmix&amp;data=05%7C02%7Cemma.karlsson%40wsp.com%7C1538c83fc5dc43b3ad7d08dcf36e6fb2%7C3d234255e20f420588a59658a402999b%7C1%7C0%7C638652902846330502%7CUnknown%7CTWFpbGZsb3d8eyJWIjoiMC4wLjAwMDAiLCJQIjoiV2luMzIiLCJBTiI6Ik1haWwiLCJXVCI6Mn0%3D%7C0%7C%7C%7C&amp;sdata=oa8c10bmbziwiJcIEUo5YolYIMSfOUJemQT1dvxMMXA%3D&amp;reserved=0" TargetMode="External"/><Relationship Id="rId7" Type="http://schemas.openxmlformats.org/officeDocument/2006/relationships/drawing" Target="../drawings/drawing8.xml"/><Relationship Id="rId2" Type="http://schemas.openxmlformats.org/officeDocument/2006/relationships/hyperlink" Target="https://klimatdatabasen.boverket.se/detaljer/2/6000000008" TargetMode="External"/><Relationship Id="rId1" Type="http://schemas.openxmlformats.org/officeDocument/2006/relationships/hyperlink" Target="https://naturvardsverket.diva-portal.org/smash/get/diva2:1540012/FULLTEXT01.pdf" TargetMode="External"/><Relationship Id="rId6" Type="http://schemas.openxmlformats.org/officeDocument/2006/relationships/printerSettings" Target="../printerSettings/printerSettings8.bin"/><Relationship Id="rId5" Type="http://schemas.openxmlformats.org/officeDocument/2006/relationships/hyperlink" Target="https://www.ivl.se/vart-erbjudande/vara-omraden/hallbart-samhallsbyggande/anvisningar-lca-berakning-byggprojekt.html" TargetMode="External"/><Relationship Id="rId4" Type="http://schemas.openxmlformats.org/officeDocument/2006/relationships/hyperlink" Target="https://eur02.safelinks.protection.outlook.com/?url=https%3A%2F%2Fwww.eea.europa.eu%2Fen%2Fanalysis%2Findicators%2Fgreenhouse-gas-emission-intensity-of-1&amp;data=05%7C02%7Cemma.karlsson%40wsp.com%7C1538c83fc5dc43b3ad7d08dcf36e6fb2%7C3d234255e20f420588a59658a402999b%7C1%7C0%7C638652902846344004%7CUnknown%7CTWFpbGZsb3d8eyJWIjoiMC4wLjAwMDAiLCJQIjoiV2luMzIiLCJBTiI6Ik1haWwiLCJXVCI6Mn0%3D%7C0%7C%7C%7C&amp;sdata=mhCt8fxAHqgfx4kn%2BJr7TyOanPrPyqq5yzeqp%2FjdB28%3D&amp;reserved=0"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806F0-EC2D-4072-8CF2-DD2D1F0AC522}">
  <sheetPr codeName="Blad1">
    <tabColor rgb="FF6B2879"/>
  </sheetPr>
  <dimension ref="A1:W175"/>
  <sheetViews>
    <sheetView topLeftCell="A6" workbookViewId="0">
      <selection activeCell="B19" sqref="B19:E28"/>
    </sheetView>
  </sheetViews>
  <sheetFormatPr defaultColWidth="9.140625" defaultRowHeight="12.75" x14ac:dyDescent="0.2"/>
  <cols>
    <col min="1" max="19" width="8.42578125" style="103" customWidth="1"/>
    <col min="20" max="16384" width="9.140625" style="103"/>
  </cols>
  <sheetData>
    <row r="1" spans="1:23" s="13" customFormat="1" x14ac:dyDescent="0.2">
      <c r="A1" s="337" t="s">
        <v>0</v>
      </c>
    </row>
    <row r="2" spans="1:23" s="13" customFormat="1" ht="33.75" x14ac:dyDescent="0.5">
      <c r="G2" s="97" t="s">
        <v>1</v>
      </c>
    </row>
    <row r="3" spans="1:23" s="13" customFormat="1" x14ac:dyDescent="0.2">
      <c r="G3" s="13" t="s">
        <v>2</v>
      </c>
      <c r="H3" s="341"/>
      <c r="I3" s="341"/>
      <c r="J3" s="341"/>
    </row>
    <row r="4" spans="1:23" s="13" customFormat="1" x14ac:dyDescent="0.2">
      <c r="G4" s="13" t="s">
        <v>3</v>
      </c>
      <c r="H4" s="341"/>
      <c r="I4" s="341"/>
      <c r="J4" s="341"/>
    </row>
    <row r="5" spans="1:23" s="13" customFormat="1" x14ac:dyDescent="0.2"/>
    <row r="6" spans="1:23" s="6" customFormat="1" ht="41.25" customHeight="1" x14ac:dyDescent="0.35">
      <c r="B6" s="409"/>
      <c r="C6" s="409"/>
      <c r="D6" s="409"/>
      <c r="E6" s="409"/>
      <c r="F6" s="409"/>
      <c r="G6" s="409"/>
      <c r="H6" s="409"/>
      <c r="I6" s="409"/>
      <c r="J6" s="409"/>
      <c r="K6" s="409"/>
      <c r="L6" s="409"/>
      <c r="M6" s="409"/>
      <c r="N6" s="409"/>
      <c r="O6" s="409"/>
      <c r="P6" s="409"/>
      <c r="Q6" s="409"/>
      <c r="R6" s="409"/>
      <c r="S6" s="409"/>
      <c r="T6" s="409"/>
      <c r="U6" s="409"/>
      <c r="V6" s="409"/>
      <c r="W6" s="409"/>
    </row>
    <row r="7" spans="1:23" s="13" customFormat="1" x14ac:dyDescent="0.2"/>
    <row r="8" spans="1:23" s="13" customFormat="1" x14ac:dyDescent="0.2"/>
    <row r="9" spans="1:23" s="13" customFormat="1" ht="23.25" x14ac:dyDescent="0.35">
      <c r="B9" s="411" t="s">
        <v>4</v>
      </c>
      <c r="C9" s="411"/>
      <c r="D9" s="411"/>
      <c r="E9" s="411"/>
    </row>
    <row r="10" spans="1:23" s="13" customFormat="1" x14ac:dyDescent="0.2">
      <c r="G10" s="38"/>
      <c r="H10" s="50"/>
    </row>
    <row r="11" spans="1:23" s="13" customFormat="1" x14ac:dyDescent="0.2">
      <c r="B11" s="412" t="s">
        <v>5</v>
      </c>
      <c r="C11" s="413"/>
      <c r="D11" s="413"/>
      <c r="E11" s="413"/>
      <c r="G11" s="38"/>
    </row>
    <row r="12" spans="1:23" s="13" customFormat="1" x14ac:dyDescent="0.2">
      <c r="B12" s="413"/>
      <c r="C12" s="413"/>
      <c r="D12" s="413"/>
      <c r="E12" s="413"/>
      <c r="G12" s="38"/>
    </row>
    <row r="13" spans="1:23" s="13" customFormat="1" x14ac:dyDescent="0.2">
      <c r="B13" s="32"/>
      <c r="G13" s="38"/>
    </row>
    <row r="14" spans="1:23" s="13" customFormat="1" ht="23.25" x14ac:dyDescent="0.35">
      <c r="B14" s="411" t="s">
        <v>6</v>
      </c>
      <c r="C14" s="411"/>
      <c r="D14" s="411"/>
      <c r="E14" s="411"/>
      <c r="G14" s="38"/>
    </row>
    <row r="15" spans="1:23" s="13" customFormat="1" x14ac:dyDescent="0.2">
      <c r="B15" s="384"/>
      <c r="G15" s="38"/>
    </row>
    <row r="16" spans="1:23" s="13" customFormat="1" ht="12.95" customHeight="1" x14ac:dyDescent="0.2">
      <c r="B16" s="416" t="s">
        <v>7</v>
      </c>
      <c r="C16" s="416"/>
      <c r="D16" s="416"/>
      <c r="E16" s="416"/>
      <c r="F16" s="343"/>
      <c r="G16" s="343"/>
      <c r="H16" s="343"/>
      <c r="I16" s="343"/>
      <c r="J16" s="343"/>
      <c r="K16" s="343"/>
      <c r="L16" s="343"/>
      <c r="M16" s="343"/>
      <c r="N16" s="343"/>
      <c r="O16" s="343"/>
    </row>
    <row r="17" spans="2:21" s="13" customFormat="1" x14ac:dyDescent="0.2">
      <c r="B17" s="416"/>
      <c r="C17" s="416"/>
      <c r="D17" s="416"/>
      <c r="E17" s="416"/>
      <c r="F17" s="343"/>
      <c r="G17" s="343"/>
      <c r="H17" s="343"/>
      <c r="I17" s="343"/>
      <c r="J17" s="343"/>
      <c r="K17" s="343"/>
      <c r="L17" s="343"/>
      <c r="M17" s="343"/>
      <c r="N17" s="343"/>
      <c r="O17" s="343"/>
    </row>
    <row r="18" spans="2:21" s="13" customFormat="1" x14ac:dyDescent="0.2">
      <c r="G18" s="38"/>
    </row>
    <row r="19" spans="2:21" s="13" customFormat="1" ht="12.95" customHeight="1" x14ac:dyDescent="0.2">
      <c r="B19" s="415" t="s">
        <v>8</v>
      </c>
      <c r="C19" s="415"/>
      <c r="D19" s="415"/>
      <c r="E19" s="415"/>
      <c r="F19" s="340"/>
      <c r="G19" s="340"/>
      <c r="H19" s="340"/>
      <c r="I19" s="340"/>
      <c r="J19" s="340"/>
      <c r="K19" s="340"/>
      <c r="L19" s="340"/>
      <c r="M19" s="340"/>
      <c r="N19" s="340"/>
      <c r="O19" s="340"/>
    </row>
    <row r="20" spans="2:21" s="13" customFormat="1" x14ac:dyDescent="0.2">
      <c r="B20" s="415"/>
      <c r="C20" s="415"/>
      <c r="D20" s="415"/>
      <c r="E20" s="415"/>
      <c r="G20" s="38"/>
    </row>
    <row r="21" spans="2:21" s="13" customFormat="1" x14ac:dyDescent="0.2">
      <c r="B21" s="415"/>
      <c r="C21" s="415"/>
      <c r="D21" s="415"/>
      <c r="E21" s="415"/>
      <c r="G21" s="38"/>
    </row>
    <row r="22" spans="2:21" s="13" customFormat="1" ht="18.75" x14ac:dyDescent="0.2">
      <c r="B22" s="415"/>
      <c r="C22" s="415"/>
      <c r="D22" s="415"/>
      <c r="E22" s="415"/>
      <c r="G22" s="38"/>
      <c r="H22" s="386"/>
      <c r="R22" s="50"/>
      <c r="S22" s="50"/>
    </row>
    <row r="23" spans="2:21" s="13" customFormat="1" ht="18.75" x14ac:dyDescent="0.2">
      <c r="B23" s="415"/>
      <c r="C23" s="415"/>
      <c r="D23" s="415"/>
      <c r="E23" s="415"/>
      <c r="G23" s="38"/>
      <c r="H23" s="414" t="s">
        <v>9</v>
      </c>
      <c r="I23" s="414"/>
    </row>
    <row r="24" spans="2:21" s="13" customFormat="1" ht="39" customHeight="1" x14ac:dyDescent="0.2">
      <c r="B24" s="415"/>
      <c r="C24" s="415"/>
      <c r="D24" s="415"/>
      <c r="E24" s="415"/>
      <c r="G24" s="38"/>
      <c r="H24" s="415" t="s">
        <v>10</v>
      </c>
      <c r="I24" s="415"/>
      <c r="J24" s="415"/>
      <c r="K24" s="415"/>
      <c r="L24" s="415"/>
      <c r="M24" s="415"/>
      <c r="N24" s="415"/>
      <c r="O24" s="415"/>
      <c r="P24" s="415"/>
      <c r="Q24" s="415"/>
      <c r="R24" s="415"/>
      <c r="S24" s="415"/>
      <c r="T24" s="415"/>
      <c r="U24" s="415"/>
    </row>
    <row r="25" spans="2:21" s="13" customFormat="1" ht="18.600000000000001" customHeight="1" x14ac:dyDescent="0.2">
      <c r="B25" s="415"/>
      <c r="C25" s="415"/>
      <c r="D25" s="415"/>
      <c r="E25" s="415"/>
      <c r="G25" s="38"/>
      <c r="H25" s="33" t="s">
        <v>11</v>
      </c>
    </row>
    <row r="26" spans="2:21" s="13" customFormat="1" ht="4.5" customHeight="1" x14ac:dyDescent="0.2">
      <c r="B26" s="415"/>
      <c r="C26" s="415"/>
      <c r="D26" s="415"/>
      <c r="E26" s="415"/>
      <c r="G26" s="38"/>
    </row>
    <row r="27" spans="2:21" s="13" customFormat="1" ht="18.75" x14ac:dyDescent="0.2">
      <c r="B27" s="415"/>
      <c r="C27" s="415"/>
      <c r="D27" s="415"/>
      <c r="E27" s="415"/>
      <c r="G27" s="38"/>
      <c r="H27" s="410" t="s">
        <v>12</v>
      </c>
      <c r="I27" s="410"/>
      <c r="J27" s="410"/>
      <c r="K27" s="410"/>
      <c r="L27" s="410"/>
      <c r="M27" s="410"/>
    </row>
    <row r="28" spans="2:21" s="13" customFormat="1" ht="156.6" customHeight="1" x14ac:dyDescent="0.2">
      <c r="B28" s="415"/>
      <c r="C28" s="415"/>
      <c r="D28" s="415"/>
      <c r="E28" s="415"/>
      <c r="G28" s="38"/>
      <c r="H28" s="415" t="s">
        <v>13</v>
      </c>
      <c r="I28" s="415"/>
      <c r="J28" s="415"/>
      <c r="K28" s="415"/>
      <c r="L28" s="415"/>
      <c r="M28" s="415"/>
      <c r="N28" s="415"/>
      <c r="O28" s="415"/>
      <c r="P28" s="415"/>
      <c r="Q28" s="415"/>
      <c r="R28" s="415"/>
      <c r="S28" s="415"/>
      <c r="T28" s="415"/>
      <c r="U28" s="415"/>
    </row>
    <row r="29" spans="2:21" s="13" customFormat="1" ht="64.5" customHeight="1" x14ac:dyDescent="0.2">
      <c r="B29" s="417" t="s">
        <v>14</v>
      </c>
      <c r="C29" s="417"/>
      <c r="D29" s="417"/>
      <c r="E29" s="417"/>
      <c r="G29" s="38"/>
      <c r="H29" s="415" t="s">
        <v>15</v>
      </c>
      <c r="I29" s="415"/>
      <c r="J29" s="415"/>
      <c r="K29" s="415"/>
      <c r="L29" s="415"/>
      <c r="M29" s="415"/>
      <c r="N29" s="415"/>
      <c r="O29" s="415"/>
      <c r="P29" s="415"/>
      <c r="Q29" s="415"/>
      <c r="R29" s="415"/>
      <c r="S29" s="415"/>
      <c r="T29" s="415"/>
      <c r="U29" s="415"/>
    </row>
    <row r="30" spans="2:21" s="13" customFormat="1" ht="12.95" customHeight="1" x14ac:dyDescent="0.2">
      <c r="B30" s="385" t="s">
        <v>16</v>
      </c>
      <c r="C30" s="66"/>
      <c r="D30" s="66"/>
      <c r="E30" s="66"/>
      <c r="G30" s="38"/>
      <c r="H30" s="66"/>
      <c r="I30" s="66"/>
      <c r="J30" s="66"/>
      <c r="K30" s="66"/>
      <c r="L30" s="66"/>
      <c r="M30" s="66"/>
      <c r="N30" s="66"/>
      <c r="O30" s="66"/>
      <c r="P30" s="66"/>
      <c r="Q30" s="66"/>
      <c r="R30" s="66"/>
      <c r="S30" s="66"/>
      <c r="T30" s="66"/>
      <c r="U30" s="66"/>
    </row>
    <row r="31" spans="2:21" s="13" customFormat="1" ht="17.45" customHeight="1" x14ac:dyDescent="0.2">
      <c r="C31" s="344"/>
      <c r="D31" s="344"/>
      <c r="E31" s="344"/>
      <c r="G31" s="38"/>
      <c r="H31" s="410" t="s">
        <v>17</v>
      </c>
      <c r="I31" s="410"/>
      <c r="J31" s="410"/>
      <c r="K31" s="410"/>
      <c r="L31" s="410"/>
      <c r="M31" s="410"/>
      <c r="N31" s="410"/>
    </row>
    <row r="32" spans="2:21" s="13" customFormat="1" ht="363.95" customHeight="1" x14ac:dyDescent="0.2">
      <c r="B32" s="418"/>
      <c r="C32" s="418"/>
      <c r="D32" s="418"/>
      <c r="E32" s="418"/>
      <c r="G32" s="38"/>
      <c r="H32" s="419" t="s">
        <v>18</v>
      </c>
      <c r="I32" s="419"/>
      <c r="J32" s="419"/>
      <c r="K32" s="419"/>
      <c r="L32" s="419"/>
      <c r="M32" s="419"/>
      <c r="N32" s="419"/>
      <c r="O32" s="419"/>
      <c r="P32" s="419"/>
      <c r="Q32" s="419"/>
      <c r="R32" s="419"/>
      <c r="S32" s="419"/>
      <c r="T32" s="419"/>
      <c r="U32" s="419"/>
    </row>
    <row r="33" spans="7:23" s="13" customFormat="1" ht="18.75" x14ac:dyDescent="0.2">
      <c r="G33" s="38"/>
      <c r="H33" s="410" t="s">
        <v>19</v>
      </c>
      <c r="I33" s="410"/>
      <c r="J33" s="410"/>
    </row>
    <row r="34" spans="7:23" s="13" customFormat="1" ht="51.75" customHeight="1" x14ac:dyDescent="0.2">
      <c r="G34" s="38"/>
      <c r="H34" s="419" t="s">
        <v>20</v>
      </c>
      <c r="I34" s="420"/>
      <c r="J34" s="420"/>
      <c r="K34" s="420"/>
      <c r="L34" s="420"/>
      <c r="M34" s="420"/>
      <c r="N34" s="420"/>
      <c r="O34" s="420"/>
      <c r="P34" s="420"/>
      <c r="Q34" s="420"/>
      <c r="R34" s="420"/>
      <c r="S34" s="420"/>
      <c r="T34" s="420"/>
      <c r="U34" s="420"/>
    </row>
    <row r="35" spans="7:23" s="13" customFormat="1" ht="20.100000000000001" customHeight="1" x14ac:dyDescent="0.2">
      <c r="G35" s="38"/>
      <c r="H35" s="421"/>
      <c r="I35" s="421"/>
      <c r="J35" s="421"/>
      <c r="K35" s="421"/>
      <c r="L35" s="421"/>
      <c r="M35" s="421"/>
      <c r="N35" s="421"/>
      <c r="O35" s="421"/>
      <c r="P35" s="421"/>
      <c r="Q35" s="421"/>
      <c r="R35" s="421"/>
      <c r="S35" s="421"/>
      <c r="T35" s="421"/>
      <c r="U35" s="421"/>
      <c r="V35" s="421"/>
      <c r="W35" s="421"/>
    </row>
    <row r="36" spans="7:23" s="13" customFormat="1" ht="17.100000000000001" customHeight="1" x14ac:dyDescent="0.2">
      <c r="G36" s="38"/>
    </row>
    <row r="37" spans="7:23" s="13" customFormat="1" ht="43.5" customHeight="1" x14ac:dyDescent="0.2">
      <c r="G37" s="38"/>
    </row>
    <row r="38" spans="7:23" s="13" customFormat="1" ht="15" customHeight="1" x14ac:dyDescent="0.2">
      <c r="G38" s="38"/>
    </row>
    <row r="39" spans="7:23" s="13" customFormat="1" x14ac:dyDescent="0.2">
      <c r="G39" s="38"/>
    </row>
    <row r="40" spans="7:23" s="13" customFormat="1" x14ac:dyDescent="0.2">
      <c r="G40" s="38"/>
      <c r="H40" s="422"/>
      <c r="I40" s="422"/>
      <c r="J40" s="422"/>
      <c r="K40" s="422"/>
      <c r="L40" s="422"/>
      <c r="M40" s="422"/>
      <c r="N40" s="422"/>
      <c r="O40" s="422"/>
      <c r="P40" s="422"/>
      <c r="Q40" s="422"/>
      <c r="R40" s="422"/>
      <c r="S40" s="422"/>
      <c r="T40" s="422"/>
    </row>
    <row r="41" spans="7:23" s="13" customFormat="1" x14ac:dyDescent="0.2">
      <c r="G41" s="38"/>
    </row>
    <row r="42" spans="7:23" s="13" customFormat="1" ht="18.75" x14ac:dyDescent="0.2">
      <c r="G42" s="38"/>
      <c r="H42" s="410"/>
      <c r="I42" s="410"/>
      <c r="J42" s="410"/>
      <c r="K42" s="410"/>
      <c r="L42" s="410"/>
      <c r="M42" s="410"/>
    </row>
    <row r="43" spans="7:23" s="13" customFormat="1" x14ac:dyDescent="0.2">
      <c r="G43" s="38"/>
      <c r="H43" s="66"/>
      <c r="I43" s="66"/>
      <c r="J43" s="66"/>
      <c r="K43" s="66"/>
      <c r="L43" s="66"/>
      <c r="M43" s="66"/>
      <c r="N43" s="66"/>
      <c r="O43" s="66"/>
      <c r="P43" s="66"/>
      <c r="Q43" s="66"/>
      <c r="R43" s="66"/>
      <c r="S43" s="66"/>
      <c r="T43" s="66"/>
      <c r="U43" s="66"/>
    </row>
    <row r="44" spans="7:23" s="13" customFormat="1" x14ac:dyDescent="0.2">
      <c r="G44" s="38"/>
      <c r="H44" s="66"/>
      <c r="I44" s="66"/>
      <c r="J44" s="66"/>
      <c r="K44" s="66"/>
      <c r="L44" s="66"/>
      <c r="M44" s="66"/>
      <c r="N44" s="66"/>
      <c r="O44" s="66"/>
      <c r="P44" s="66"/>
      <c r="Q44" s="66"/>
      <c r="R44" s="66"/>
      <c r="S44" s="66"/>
      <c r="T44" s="66"/>
      <c r="U44" s="66"/>
    </row>
    <row r="45" spans="7:23" s="13" customFormat="1" x14ac:dyDescent="0.2">
      <c r="G45" s="38"/>
      <c r="H45" s="66"/>
      <c r="I45" s="66"/>
      <c r="J45" s="66"/>
      <c r="K45" s="66"/>
      <c r="L45" s="66"/>
      <c r="M45" s="66"/>
      <c r="N45" s="66"/>
      <c r="O45" s="66"/>
      <c r="P45" s="66"/>
      <c r="Q45" s="66"/>
      <c r="R45" s="66"/>
      <c r="S45" s="66"/>
      <c r="T45" s="66"/>
      <c r="U45" s="66"/>
    </row>
    <row r="46" spans="7:23" s="13" customFormat="1" x14ac:dyDescent="0.2">
      <c r="G46" s="38"/>
      <c r="H46" s="66"/>
      <c r="I46" s="66"/>
      <c r="J46" s="66"/>
      <c r="K46" s="66"/>
      <c r="L46" s="66"/>
      <c r="M46" s="66"/>
      <c r="N46" s="66"/>
      <c r="O46" s="66"/>
      <c r="P46" s="66"/>
      <c r="Q46" s="66"/>
      <c r="R46" s="66"/>
      <c r="S46" s="66"/>
      <c r="T46" s="66"/>
      <c r="U46" s="66"/>
    </row>
    <row r="47" spans="7:23" s="13" customFormat="1" x14ac:dyDescent="0.2">
      <c r="G47" s="38"/>
      <c r="H47" s="66"/>
      <c r="I47" s="66"/>
      <c r="J47" s="66"/>
      <c r="K47" s="66"/>
      <c r="L47" s="66"/>
      <c r="M47" s="66"/>
      <c r="N47" s="66"/>
      <c r="O47" s="66"/>
      <c r="P47" s="66"/>
      <c r="Q47" s="66"/>
      <c r="R47" s="66"/>
      <c r="S47" s="66"/>
      <c r="T47" s="66"/>
      <c r="U47" s="66"/>
    </row>
    <row r="48" spans="7:23" s="13" customFormat="1" x14ac:dyDescent="0.2">
      <c r="G48" s="38"/>
      <c r="H48" s="66"/>
      <c r="I48" s="66"/>
      <c r="J48" s="66"/>
      <c r="K48" s="66"/>
      <c r="L48" s="66"/>
      <c r="M48" s="66"/>
      <c r="N48" s="66"/>
      <c r="O48" s="66"/>
      <c r="P48" s="66"/>
      <c r="Q48" s="66"/>
      <c r="R48" s="66"/>
      <c r="S48" s="66"/>
      <c r="T48" s="66"/>
      <c r="U48" s="66"/>
    </row>
    <row r="49" spans="7:21" s="13" customFormat="1" x14ac:dyDescent="0.2">
      <c r="G49" s="38"/>
      <c r="H49" s="66"/>
      <c r="I49" s="66"/>
      <c r="J49" s="66"/>
      <c r="K49" s="66"/>
      <c r="L49" s="66"/>
      <c r="M49" s="66"/>
      <c r="N49" s="66"/>
      <c r="O49" s="66"/>
      <c r="P49" s="66"/>
      <c r="Q49" s="66"/>
      <c r="R49" s="66"/>
      <c r="S49" s="66"/>
      <c r="T49" s="66"/>
      <c r="U49" s="66"/>
    </row>
    <row r="50" spans="7:21" s="13" customFormat="1" x14ac:dyDescent="0.2">
      <c r="G50" s="38"/>
      <c r="H50" s="66"/>
      <c r="I50" s="66"/>
      <c r="J50" s="66"/>
      <c r="K50" s="66"/>
      <c r="L50" s="66"/>
      <c r="M50" s="66"/>
      <c r="N50" s="66"/>
      <c r="O50" s="66"/>
      <c r="P50" s="66"/>
      <c r="Q50" s="66"/>
      <c r="R50" s="66"/>
      <c r="S50" s="66"/>
      <c r="T50" s="66"/>
      <c r="U50" s="66"/>
    </row>
    <row r="51" spans="7:21" s="13" customFormat="1" x14ac:dyDescent="0.2">
      <c r="G51" s="38"/>
      <c r="H51" s="66"/>
      <c r="I51" s="66"/>
      <c r="J51" s="66"/>
      <c r="K51" s="66"/>
      <c r="L51" s="66"/>
      <c r="M51" s="66"/>
      <c r="N51" s="66"/>
      <c r="O51" s="66"/>
      <c r="P51" s="66"/>
      <c r="Q51" s="66"/>
      <c r="R51" s="66"/>
      <c r="S51" s="66"/>
      <c r="T51" s="66"/>
      <c r="U51" s="66"/>
    </row>
    <row r="52" spans="7:21" s="13" customFormat="1" x14ac:dyDescent="0.2">
      <c r="G52" s="38"/>
      <c r="H52" s="66"/>
      <c r="I52" s="66"/>
      <c r="J52" s="66"/>
      <c r="K52" s="66"/>
      <c r="L52" s="66"/>
      <c r="M52" s="66"/>
      <c r="N52" s="66"/>
      <c r="O52" s="66"/>
      <c r="P52" s="66"/>
      <c r="Q52" s="66"/>
      <c r="R52" s="66"/>
      <c r="S52" s="66"/>
      <c r="T52" s="66"/>
      <c r="U52" s="66"/>
    </row>
    <row r="53" spans="7:21" s="13" customFormat="1" x14ac:dyDescent="0.2">
      <c r="G53" s="38"/>
      <c r="H53" s="66"/>
      <c r="I53" s="66"/>
      <c r="J53" s="66"/>
      <c r="K53" s="66"/>
      <c r="L53" s="66"/>
      <c r="M53" s="66"/>
      <c r="N53" s="66"/>
      <c r="O53" s="66"/>
      <c r="P53" s="66"/>
      <c r="Q53" s="66"/>
      <c r="R53" s="66"/>
      <c r="S53" s="66"/>
      <c r="T53" s="66"/>
      <c r="U53" s="66"/>
    </row>
    <row r="54" spans="7:21" s="13" customFormat="1" x14ac:dyDescent="0.2">
      <c r="G54" s="38"/>
      <c r="H54" s="423"/>
      <c r="I54" s="423"/>
      <c r="J54" s="423"/>
      <c r="K54" s="423"/>
      <c r="L54" s="423"/>
      <c r="M54" s="423"/>
      <c r="N54" s="423"/>
      <c r="O54" s="423"/>
      <c r="P54" s="423"/>
      <c r="Q54" s="423"/>
      <c r="R54" s="423"/>
      <c r="S54" s="423"/>
      <c r="T54" s="423"/>
      <c r="U54" s="423"/>
    </row>
    <row r="55" spans="7:21" s="13" customFormat="1" x14ac:dyDescent="0.2">
      <c r="G55" s="38"/>
      <c r="H55" s="66"/>
      <c r="I55" s="66"/>
      <c r="J55" s="66"/>
      <c r="K55" s="66"/>
      <c r="L55" s="66"/>
      <c r="M55" s="66"/>
      <c r="N55" s="66"/>
      <c r="O55" s="66"/>
      <c r="P55" s="66"/>
      <c r="Q55" s="66"/>
      <c r="R55" s="66"/>
      <c r="S55" s="66"/>
      <c r="T55" s="66"/>
      <c r="U55" s="66"/>
    </row>
    <row r="56" spans="7:21" s="13" customFormat="1" x14ac:dyDescent="0.2">
      <c r="G56" s="38"/>
      <c r="H56" s="66"/>
      <c r="I56" s="66"/>
      <c r="J56" s="66"/>
      <c r="K56" s="66"/>
      <c r="L56" s="66"/>
      <c r="M56" s="66"/>
      <c r="N56" s="66"/>
      <c r="O56" s="66"/>
      <c r="P56" s="66"/>
      <c r="Q56" s="66"/>
      <c r="R56" s="66"/>
      <c r="S56" s="66"/>
      <c r="T56" s="66"/>
      <c r="U56" s="66"/>
    </row>
    <row r="57" spans="7:21" s="13" customFormat="1" x14ac:dyDescent="0.2">
      <c r="G57" s="38"/>
      <c r="H57" s="66"/>
      <c r="I57" s="66"/>
      <c r="J57" s="66"/>
      <c r="K57" s="66"/>
      <c r="L57" s="66"/>
      <c r="M57" s="66"/>
      <c r="N57" s="66"/>
      <c r="O57" s="66"/>
      <c r="P57" s="66"/>
      <c r="Q57" s="66"/>
      <c r="R57" s="66"/>
      <c r="S57" s="66"/>
      <c r="T57" s="66"/>
      <c r="U57" s="66"/>
    </row>
    <row r="58" spans="7:21" s="13" customFormat="1" x14ac:dyDescent="0.2">
      <c r="G58" s="38"/>
      <c r="H58" s="66"/>
      <c r="I58" s="66"/>
      <c r="J58" s="66"/>
      <c r="K58" s="66"/>
      <c r="L58" s="66"/>
      <c r="M58" s="66"/>
      <c r="N58" s="66"/>
      <c r="O58" s="66"/>
      <c r="P58" s="66"/>
      <c r="Q58" s="66"/>
      <c r="R58" s="66"/>
      <c r="S58" s="66"/>
      <c r="T58" s="66"/>
      <c r="U58" s="66"/>
    </row>
    <row r="59" spans="7:21" s="13" customFormat="1" x14ac:dyDescent="0.2">
      <c r="G59" s="38"/>
      <c r="H59" s="66"/>
      <c r="I59" s="66"/>
      <c r="J59" s="66"/>
      <c r="K59" s="66"/>
      <c r="L59" s="66"/>
      <c r="M59" s="66"/>
      <c r="N59" s="66"/>
      <c r="O59" s="66"/>
      <c r="P59" s="66"/>
      <c r="Q59" s="66"/>
      <c r="R59" s="66"/>
      <c r="S59" s="66"/>
      <c r="T59" s="66"/>
      <c r="U59" s="66"/>
    </row>
    <row r="60" spans="7:21" s="13" customFormat="1" x14ac:dyDescent="0.2">
      <c r="G60" s="38"/>
      <c r="H60" s="66"/>
      <c r="I60" s="66"/>
      <c r="J60" s="66"/>
      <c r="K60" s="66"/>
      <c r="L60" s="66"/>
      <c r="M60" s="66"/>
      <c r="N60" s="66"/>
      <c r="O60" s="66"/>
      <c r="P60" s="66"/>
      <c r="Q60" s="66"/>
      <c r="R60" s="66"/>
      <c r="S60" s="66"/>
      <c r="T60" s="66"/>
      <c r="U60" s="66"/>
    </row>
    <row r="61" spans="7:21" s="13" customFormat="1" x14ac:dyDescent="0.2">
      <c r="G61" s="38"/>
      <c r="H61" s="66"/>
      <c r="I61" s="66"/>
      <c r="J61" s="66"/>
      <c r="K61" s="66"/>
      <c r="L61" s="66"/>
      <c r="M61" s="66"/>
      <c r="N61" s="66"/>
      <c r="O61" s="66"/>
      <c r="P61" s="66"/>
      <c r="Q61" s="66"/>
      <c r="R61" s="66"/>
      <c r="S61" s="66"/>
      <c r="T61" s="66"/>
      <c r="U61" s="66"/>
    </row>
    <row r="62" spans="7:21" s="13" customFormat="1" x14ac:dyDescent="0.2">
      <c r="G62" s="38"/>
      <c r="H62" s="66"/>
      <c r="I62" s="66"/>
      <c r="J62" s="66"/>
      <c r="K62" s="66"/>
      <c r="L62" s="66"/>
      <c r="M62" s="66"/>
      <c r="N62" s="66"/>
      <c r="O62" s="66"/>
      <c r="P62" s="66"/>
      <c r="Q62" s="66"/>
      <c r="R62" s="66"/>
      <c r="S62" s="66"/>
      <c r="T62" s="66"/>
      <c r="U62" s="66"/>
    </row>
    <row r="63" spans="7:21" s="13" customFormat="1" x14ac:dyDescent="0.2">
      <c r="G63" s="38"/>
      <c r="H63" s="66"/>
      <c r="I63" s="66"/>
      <c r="J63" s="66"/>
      <c r="K63" s="66"/>
      <c r="L63" s="66"/>
      <c r="M63" s="66"/>
      <c r="N63" s="66"/>
      <c r="O63" s="66"/>
      <c r="P63" s="66"/>
      <c r="Q63" s="66"/>
      <c r="R63" s="66"/>
      <c r="S63" s="66"/>
      <c r="T63" s="66"/>
      <c r="U63" s="66"/>
    </row>
    <row r="64" spans="7:21" s="13" customFormat="1" x14ac:dyDescent="0.2">
      <c r="G64" s="38"/>
      <c r="H64" s="66"/>
      <c r="I64" s="66"/>
      <c r="J64" s="66"/>
      <c r="K64" s="66"/>
      <c r="L64" s="66"/>
      <c r="M64" s="66"/>
      <c r="N64" s="66"/>
      <c r="O64" s="66"/>
      <c r="P64" s="66"/>
      <c r="Q64" s="66"/>
      <c r="R64" s="66"/>
      <c r="S64" s="66"/>
      <c r="T64" s="66"/>
      <c r="U64" s="66"/>
    </row>
    <row r="65" spans="7:21" s="13" customFormat="1" x14ac:dyDescent="0.2">
      <c r="G65" s="38"/>
      <c r="H65" s="66"/>
      <c r="I65" s="66"/>
      <c r="J65" s="66"/>
      <c r="K65" s="66"/>
      <c r="L65" s="66"/>
      <c r="M65" s="66"/>
      <c r="N65" s="66"/>
      <c r="O65" s="66"/>
      <c r="P65" s="66"/>
      <c r="Q65" s="66"/>
      <c r="R65" s="66"/>
      <c r="S65" s="66"/>
      <c r="T65" s="66"/>
      <c r="U65" s="66"/>
    </row>
    <row r="66" spans="7:21" s="13" customFormat="1" x14ac:dyDescent="0.2">
      <c r="G66" s="38"/>
      <c r="H66" s="66"/>
      <c r="I66" s="66"/>
      <c r="J66" s="66"/>
      <c r="K66" s="66"/>
      <c r="L66" s="66"/>
      <c r="M66" s="66"/>
      <c r="N66" s="66"/>
      <c r="O66" s="66"/>
      <c r="P66" s="66"/>
      <c r="Q66" s="66"/>
      <c r="R66" s="66"/>
      <c r="S66" s="66"/>
      <c r="T66" s="66"/>
      <c r="U66" s="66"/>
    </row>
    <row r="67" spans="7:21" s="13" customFormat="1" x14ac:dyDescent="0.2">
      <c r="G67" s="38"/>
      <c r="H67" s="66"/>
      <c r="I67" s="66"/>
      <c r="J67" s="66"/>
      <c r="K67" s="66"/>
      <c r="L67" s="66"/>
      <c r="M67" s="66"/>
      <c r="N67" s="66"/>
      <c r="O67" s="66"/>
      <c r="P67" s="66"/>
      <c r="Q67" s="66"/>
      <c r="R67" s="66"/>
      <c r="S67" s="66"/>
      <c r="T67" s="66"/>
      <c r="U67" s="66"/>
    </row>
    <row r="68" spans="7:21" s="13" customFormat="1" x14ac:dyDescent="0.2">
      <c r="G68" s="38"/>
      <c r="H68" s="66"/>
      <c r="I68" s="66"/>
      <c r="J68" s="66"/>
      <c r="K68" s="66"/>
      <c r="L68" s="66"/>
      <c r="M68" s="66"/>
      <c r="N68" s="66"/>
      <c r="O68" s="66"/>
      <c r="P68" s="66"/>
      <c r="Q68" s="66"/>
      <c r="R68" s="66"/>
      <c r="S68" s="66"/>
      <c r="T68" s="66"/>
      <c r="U68" s="66"/>
    </row>
    <row r="69" spans="7:21" s="13" customFormat="1" x14ac:dyDescent="0.2">
      <c r="G69" s="38"/>
      <c r="H69" s="66"/>
      <c r="I69" s="66"/>
      <c r="J69" s="66"/>
      <c r="K69" s="66"/>
      <c r="L69" s="66"/>
      <c r="M69" s="66"/>
      <c r="N69" s="66"/>
      <c r="O69" s="66"/>
      <c r="P69" s="66"/>
      <c r="Q69" s="66"/>
      <c r="R69" s="66"/>
      <c r="S69" s="66"/>
      <c r="T69" s="66"/>
      <c r="U69" s="66"/>
    </row>
    <row r="70" spans="7:21" s="13" customFormat="1" x14ac:dyDescent="0.2">
      <c r="G70" s="38"/>
      <c r="H70" s="66"/>
      <c r="I70" s="66"/>
      <c r="J70" s="66"/>
      <c r="K70" s="66"/>
      <c r="L70" s="66"/>
      <c r="M70" s="66"/>
      <c r="N70" s="66"/>
      <c r="O70" s="66"/>
      <c r="P70" s="66"/>
      <c r="Q70" s="66"/>
      <c r="R70" s="66"/>
      <c r="S70" s="66"/>
      <c r="T70" s="66"/>
      <c r="U70" s="66"/>
    </row>
    <row r="71" spans="7:21" s="13" customFormat="1" x14ac:dyDescent="0.2">
      <c r="G71" s="38"/>
      <c r="H71" s="66"/>
      <c r="I71" s="66"/>
      <c r="J71" s="66"/>
      <c r="K71" s="66"/>
      <c r="L71" s="66"/>
      <c r="M71" s="66"/>
      <c r="N71" s="66"/>
      <c r="O71" s="66"/>
      <c r="P71" s="66"/>
      <c r="Q71" s="66"/>
      <c r="R71" s="66"/>
      <c r="S71" s="66"/>
      <c r="T71" s="66"/>
      <c r="U71" s="66"/>
    </row>
    <row r="72" spans="7:21" s="13" customFormat="1" x14ac:dyDescent="0.2">
      <c r="G72" s="38"/>
      <c r="H72" s="66"/>
      <c r="I72" s="66"/>
      <c r="J72" s="66"/>
      <c r="K72" s="66"/>
      <c r="L72" s="66"/>
      <c r="M72" s="66"/>
      <c r="N72" s="66"/>
      <c r="O72" s="66"/>
      <c r="P72" s="66"/>
      <c r="Q72" s="66"/>
      <c r="R72" s="66"/>
      <c r="S72" s="66"/>
      <c r="T72" s="66"/>
      <c r="U72" s="66"/>
    </row>
    <row r="73" spans="7:21" s="13" customFormat="1" x14ac:dyDescent="0.2">
      <c r="G73" s="38"/>
      <c r="H73" s="66"/>
      <c r="I73" s="66"/>
      <c r="J73" s="66"/>
      <c r="K73" s="66"/>
      <c r="L73" s="66"/>
      <c r="M73" s="66"/>
      <c r="N73" s="66"/>
      <c r="O73" s="66"/>
      <c r="P73" s="66"/>
      <c r="Q73" s="66"/>
      <c r="R73" s="66"/>
      <c r="S73" s="66"/>
      <c r="T73" s="66"/>
      <c r="U73" s="66"/>
    </row>
    <row r="74" spans="7:21" s="13" customFormat="1" x14ac:dyDescent="0.2">
      <c r="G74" s="38"/>
      <c r="H74" s="66"/>
      <c r="I74" s="66"/>
      <c r="J74" s="66"/>
      <c r="K74" s="66"/>
      <c r="L74" s="66"/>
      <c r="M74" s="66"/>
      <c r="N74" s="66"/>
      <c r="O74" s="66"/>
      <c r="P74" s="66"/>
      <c r="Q74" s="66"/>
      <c r="R74" s="66"/>
      <c r="S74" s="66"/>
      <c r="T74" s="66"/>
      <c r="U74" s="66"/>
    </row>
    <row r="75" spans="7:21" s="13" customFormat="1" x14ac:dyDescent="0.2">
      <c r="G75" s="38"/>
      <c r="H75" s="66"/>
      <c r="I75" s="66"/>
      <c r="J75" s="66"/>
      <c r="K75" s="66"/>
      <c r="L75" s="66"/>
      <c r="M75" s="66"/>
      <c r="N75" s="66"/>
      <c r="O75" s="66"/>
      <c r="P75" s="66"/>
      <c r="Q75" s="66"/>
      <c r="R75" s="66"/>
      <c r="S75" s="66"/>
      <c r="T75" s="66"/>
      <c r="U75" s="66"/>
    </row>
    <row r="76" spans="7:21" s="13" customFormat="1" x14ac:dyDescent="0.2">
      <c r="G76" s="38"/>
      <c r="H76" s="66"/>
      <c r="I76" s="66"/>
      <c r="J76" s="66"/>
      <c r="K76" s="66"/>
      <c r="L76" s="66"/>
      <c r="M76" s="66"/>
      <c r="N76" s="66"/>
      <c r="O76" s="66"/>
      <c r="P76" s="66"/>
      <c r="Q76" s="66"/>
      <c r="R76" s="66"/>
      <c r="S76" s="66"/>
      <c r="T76" s="66"/>
      <c r="U76" s="66"/>
    </row>
    <row r="77" spans="7:21" s="13" customFormat="1" x14ac:dyDescent="0.2">
      <c r="G77" s="38"/>
      <c r="H77" s="66"/>
      <c r="I77" s="66"/>
      <c r="J77" s="66"/>
      <c r="K77" s="66"/>
      <c r="L77" s="66"/>
      <c r="M77" s="66"/>
      <c r="N77" s="66"/>
      <c r="O77" s="66"/>
      <c r="P77" s="66"/>
      <c r="Q77" s="66"/>
      <c r="R77" s="66"/>
      <c r="S77" s="66"/>
      <c r="T77" s="66"/>
      <c r="U77" s="66"/>
    </row>
    <row r="78" spans="7:21" s="13" customFormat="1" ht="18.75" x14ac:dyDescent="0.2">
      <c r="G78" s="38"/>
      <c r="H78" s="410"/>
      <c r="I78" s="410"/>
      <c r="J78" s="410"/>
      <c r="K78" s="410"/>
      <c r="L78" s="410"/>
      <c r="M78" s="410"/>
      <c r="N78" s="66"/>
      <c r="O78" s="66"/>
      <c r="P78" s="66"/>
      <c r="Q78" s="66"/>
      <c r="R78" s="66"/>
      <c r="S78" s="66"/>
      <c r="T78" s="66"/>
      <c r="U78" s="66"/>
    </row>
    <row r="79" spans="7:21" s="13" customFormat="1" x14ac:dyDescent="0.2">
      <c r="G79" s="38"/>
      <c r="H79" s="66"/>
      <c r="I79" s="66"/>
      <c r="J79" s="66"/>
      <c r="K79" s="66"/>
      <c r="L79" s="66"/>
      <c r="M79" s="66"/>
      <c r="N79" s="66"/>
      <c r="O79" s="66"/>
      <c r="P79" s="66"/>
      <c r="Q79" s="66"/>
      <c r="R79" s="66"/>
      <c r="S79" s="66"/>
      <c r="T79" s="66"/>
      <c r="U79" s="66"/>
    </row>
    <row r="80" spans="7:21" s="13" customFormat="1" x14ac:dyDescent="0.2">
      <c r="G80" s="38"/>
      <c r="H80" s="66"/>
      <c r="I80" s="66"/>
      <c r="J80" s="66"/>
      <c r="K80" s="66"/>
      <c r="L80" s="66"/>
      <c r="M80" s="66"/>
      <c r="N80" s="66"/>
      <c r="O80" s="66"/>
      <c r="P80" s="66"/>
      <c r="Q80" s="66"/>
      <c r="R80" s="66"/>
      <c r="S80" s="66"/>
      <c r="T80" s="66"/>
      <c r="U80" s="66"/>
    </row>
    <row r="81" spans="7:21" s="13" customFormat="1" x14ac:dyDescent="0.2">
      <c r="G81" s="38"/>
      <c r="H81" s="66"/>
      <c r="I81" s="66"/>
      <c r="J81" s="66"/>
      <c r="K81" s="66"/>
      <c r="L81" s="66"/>
      <c r="M81" s="66"/>
      <c r="N81" s="66"/>
      <c r="O81" s="66"/>
      <c r="P81" s="66"/>
      <c r="Q81" s="66"/>
      <c r="R81" s="66"/>
      <c r="S81" s="66"/>
      <c r="T81" s="66"/>
      <c r="U81" s="66"/>
    </row>
    <row r="82" spans="7:21" s="13" customFormat="1" x14ac:dyDescent="0.2">
      <c r="G82" s="38"/>
      <c r="H82" s="66"/>
      <c r="I82" s="66"/>
      <c r="J82" s="66"/>
      <c r="K82" s="66"/>
      <c r="L82" s="66"/>
      <c r="M82" s="66"/>
      <c r="N82" s="66"/>
      <c r="O82" s="66"/>
      <c r="P82" s="66"/>
      <c r="Q82" s="66"/>
      <c r="R82" s="66"/>
      <c r="S82" s="66"/>
      <c r="T82" s="66"/>
      <c r="U82" s="66"/>
    </row>
    <row r="83" spans="7:21" s="13" customFormat="1" x14ac:dyDescent="0.2">
      <c r="G83" s="38"/>
      <c r="H83" s="66"/>
      <c r="I83" s="66"/>
      <c r="J83" s="66"/>
      <c r="K83" s="66"/>
      <c r="L83" s="66"/>
      <c r="M83" s="66"/>
      <c r="N83" s="66"/>
      <c r="O83" s="66"/>
      <c r="P83" s="66"/>
      <c r="Q83" s="66"/>
      <c r="R83" s="66"/>
      <c r="S83" s="66"/>
      <c r="T83" s="66"/>
      <c r="U83" s="66"/>
    </row>
    <row r="84" spans="7:21" s="13" customFormat="1" x14ac:dyDescent="0.2">
      <c r="G84" s="38"/>
      <c r="H84" s="66"/>
      <c r="I84" s="66"/>
      <c r="J84" s="66"/>
      <c r="K84" s="66"/>
      <c r="L84" s="66"/>
      <c r="M84" s="66"/>
      <c r="N84" s="66"/>
      <c r="O84" s="66"/>
      <c r="P84" s="66"/>
      <c r="Q84" s="66"/>
      <c r="R84" s="66"/>
      <c r="S84" s="66"/>
      <c r="T84" s="66"/>
      <c r="U84" s="66"/>
    </row>
    <row r="85" spans="7:21" s="13" customFormat="1" x14ac:dyDescent="0.2">
      <c r="G85" s="38"/>
      <c r="H85" s="66"/>
      <c r="I85" s="66"/>
      <c r="J85" s="66"/>
      <c r="K85" s="66"/>
      <c r="L85" s="66"/>
      <c r="M85" s="66"/>
      <c r="N85" s="66"/>
      <c r="O85" s="66"/>
      <c r="P85" s="66"/>
      <c r="Q85" s="66"/>
      <c r="R85" s="66"/>
      <c r="S85" s="66"/>
      <c r="T85" s="66"/>
      <c r="U85" s="66"/>
    </row>
    <row r="86" spans="7:21" s="13" customFormat="1" x14ac:dyDescent="0.2">
      <c r="G86" s="38"/>
      <c r="H86" s="66"/>
      <c r="I86" s="66"/>
      <c r="J86" s="66"/>
      <c r="K86" s="66"/>
      <c r="L86" s="66"/>
      <c r="M86" s="66"/>
      <c r="N86" s="66"/>
      <c r="O86" s="66"/>
      <c r="P86" s="66"/>
      <c r="Q86" s="66"/>
      <c r="R86" s="66"/>
      <c r="S86" s="66"/>
      <c r="T86" s="66"/>
      <c r="U86" s="66"/>
    </row>
    <row r="87" spans="7:21" s="13" customFormat="1" x14ac:dyDescent="0.2">
      <c r="G87" s="38"/>
      <c r="H87" s="66"/>
      <c r="I87" s="66"/>
      <c r="J87" s="66"/>
      <c r="K87" s="66"/>
      <c r="L87" s="66"/>
      <c r="M87" s="66"/>
      <c r="N87" s="66"/>
      <c r="O87" s="66"/>
      <c r="P87" s="66"/>
      <c r="Q87" s="66"/>
      <c r="R87" s="66"/>
      <c r="S87" s="66"/>
      <c r="T87" s="66"/>
      <c r="U87" s="66"/>
    </row>
    <row r="88" spans="7:21" s="13" customFormat="1" ht="15" customHeight="1" x14ac:dyDescent="0.2">
      <c r="G88" s="38"/>
      <c r="H88" s="66"/>
      <c r="I88" s="66"/>
      <c r="J88" s="66"/>
      <c r="K88" s="66"/>
      <c r="L88" s="66"/>
      <c r="M88" s="66"/>
      <c r="N88" s="66"/>
      <c r="O88" s="66"/>
      <c r="P88" s="66"/>
      <c r="Q88" s="66"/>
      <c r="R88" s="66"/>
      <c r="S88" s="66"/>
      <c r="T88" s="66"/>
      <c r="U88" s="66"/>
    </row>
    <row r="89" spans="7:21" s="13" customFormat="1" x14ac:dyDescent="0.2">
      <c r="G89" s="38"/>
      <c r="H89" s="66"/>
      <c r="I89" s="66"/>
      <c r="J89" s="66"/>
      <c r="K89" s="66"/>
      <c r="L89" s="66"/>
      <c r="M89" s="66"/>
      <c r="N89" s="66"/>
      <c r="O89" s="66"/>
      <c r="P89" s="66"/>
      <c r="Q89" s="66"/>
      <c r="R89" s="66"/>
      <c r="S89" s="66"/>
      <c r="T89" s="66"/>
      <c r="U89" s="66"/>
    </row>
    <row r="90" spans="7:21" s="13" customFormat="1" x14ac:dyDescent="0.2">
      <c r="G90" s="38"/>
      <c r="H90" s="66"/>
      <c r="I90" s="66"/>
      <c r="J90" s="66"/>
      <c r="K90" s="66"/>
      <c r="L90" s="66"/>
      <c r="M90" s="66"/>
      <c r="N90" s="66"/>
      <c r="O90" s="66"/>
      <c r="P90" s="66"/>
      <c r="Q90" s="66"/>
      <c r="R90" s="66"/>
      <c r="S90" s="66"/>
      <c r="T90" s="66"/>
      <c r="U90" s="66"/>
    </row>
    <row r="91" spans="7:21" s="13" customFormat="1" x14ac:dyDescent="0.2">
      <c r="G91" s="38"/>
      <c r="H91" s="66"/>
      <c r="I91" s="66"/>
      <c r="J91" s="66"/>
      <c r="K91" s="66"/>
      <c r="L91" s="66"/>
      <c r="M91" s="66"/>
      <c r="N91" s="66"/>
      <c r="O91" s="66"/>
      <c r="P91" s="66"/>
      <c r="Q91" s="66"/>
      <c r="R91" s="66"/>
      <c r="S91" s="66"/>
      <c r="T91" s="66"/>
      <c r="U91" s="66"/>
    </row>
    <row r="92" spans="7:21" s="13" customFormat="1" x14ac:dyDescent="0.2">
      <c r="G92" s="38"/>
      <c r="H92" s="66"/>
      <c r="I92" s="66"/>
      <c r="J92" s="66"/>
      <c r="K92" s="66"/>
      <c r="L92" s="66"/>
      <c r="M92" s="66"/>
      <c r="N92" s="66"/>
      <c r="O92" s="66"/>
      <c r="P92" s="66"/>
      <c r="Q92" s="66"/>
      <c r="R92" s="66"/>
      <c r="S92" s="66"/>
      <c r="T92" s="66"/>
      <c r="U92" s="66"/>
    </row>
    <row r="93" spans="7:21" s="13" customFormat="1" x14ac:dyDescent="0.2">
      <c r="G93" s="38"/>
      <c r="H93" s="66"/>
      <c r="I93" s="66"/>
      <c r="J93" s="66"/>
      <c r="K93" s="66"/>
      <c r="L93" s="66"/>
      <c r="M93" s="66"/>
      <c r="N93" s="66"/>
      <c r="O93" s="66"/>
      <c r="P93" s="66"/>
      <c r="Q93" s="66"/>
      <c r="R93" s="66"/>
      <c r="S93" s="66"/>
      <c r="T93" s="66"/>
      <c r="U93" s="66"/>
    </row>
    <row r="94" spans="7:21" s="13" customFormat="1" x14ac:dyDescent="0.2">
      <c r="G94" s="38"/>
      <c r="H94" s="66"/>
      <c r="I94" s="66"/>
      <c r="J94" s="66"/>
      <c r="K94" s="66"/>
      <c r="L94" s="66"/>
      <c r="M94" s="66"/>
      <c r="N94" s="66"/>
      <c r="O94" s="66"/>
      <c r="P94" s="66"/>
      <c r="Q94" s="66"/>
      <c r="R94" s="66"/>
      <c r="S94" s="66"/>
      <c r="T94" s="66"/>
      <c r="U94" s="66"/>
    </row>
    <row r="95" spans="7:21" s="13" customFormat="1" x14ac:dyDescent="0.2">
      <c r="G95" s="38"/>
      <c r="H95" s="66"/>
      <c r="I95" s="66"/>
      <c r="J95" s="66"/>
      <c r="K95" s="66"/>
      <c r="L95" s="66"/>
      <c r="M95" s="66"/>
      <c r="N95" s="66"/>
      <c r="O95" s="66"/>
      <c r="P95" s="66"/>
      <c r="Q95" s="66"/>
      <c r="R95" s="66"/>
      <c r="S95" s="66"/>
      <c r="T95" s="66"/>
      <c r="U95" s="66"/>
    </row>
    <row r="96" spans="7:21" s="13" customFormat="1" x14ac:dyDescent="0.2">
      <c r="G96" s="38"/>
      <c r="H96" s="66"/>
      <c r="I96" s="66"/>
      <c r="J96" s="66"/>
      <c r="K96" s="66"/>
      <c r="L96" s="66"/>
      <c r="M96" s="66"/>
      <c r="N96" s="66"/>
      <c r="O96" s="66"/>
      <c r="P96" s="66"/>
      <c r="Q96" s="66"/>
      <c r="R96" s="66"/>
      <c r="S96" s="66"/>
      <c r="T96" s="66"/>
      <c r="U96" s="66"/>
    </row>
    <row r="97" spans="6:21" s="13" customFormat="1" x14ac:dyDescent="0.2">
      <c r="G97" s="38"/>
      <c r="H97" s="66"/>
      <c r="I97" s="66"/>
      <c r="J97" s="66"/>
      <c r="K97" s="66"/>
      <c r="L97" s="66"/>
      <c r="M97" s="66"/>
      <c r="N97" s="66"/>
      <c r="O97" s="66"/>
      <c r="P97" s="66"/>
      <c r="Q97" s="66"/>
      <c r="R97" s="66"/>
      <c r="S97" s="66"/>
      <c r="T97" s="66"/>
      <c r="U97" s="66"/>
    </row>
    <row r="98" spans="6:21" s="13" customFormat="1" x14ac:dyDescent="0.2">
      <c r="G98" s="38"/>
      <c r="H98" s="66"/>
      <c r="I98" s="66"/>
      <c r="J98" s="66"/>
      <c r="K98" s="66"/>
      <c r="L98" s="66"/>
      <c r="M98" s="66"/>
      <c r="N98" s="66"/>
      <c r="O98" s="66"/>
      <c r="P98" s="66"/>
      <c r="Q98" s="66"/>
      <c r="R98" s="66"/>
      <c r="S98" s="66"/>
      <c r="T98" s="66"/>
      <c r="U98" s="66"/>
    </row>
    <row r="99" spans="6:21" s="13" customFormat="1" x14ac:dyDescent="0.2">
      <c r="G99" s="38"/>
      <c r="H99" s="66"/>
      <c r="I99" s="66"/>
      <c r="J99" s="66"/>
      <c r="K99" s="66"/>
      <c r="L99" s="66"/>
      <c r="M99" s="66"/>
      <c r="N99" s="66"/>
      <c r="O99" s="66"/>
      <c r="P99" s="66"/>
      <c r="Q99" s="66"/>
      <c r="R99" s="66"/>
      <c r="S99" s="66"/>
      <c r="T99" s="66"/>
      <c r="U99" s="66"/>
    </row>
    <row r="100" spans="6:21" s="13" customFormat="1" x14ac:dyDescent="0.2">
      <c r="G100" s="38"/>
      <c r="H100" s="66"/>
      <c r="I100" s="66"/>
      <c r="J100" s="66"/>
      <c r="K100" s="66"/>
      <c r="L100" s="66"/>
      <c r="M100" s="66"/>
      <c r="N100" s="66"/>
      <c r="O100" s="66"/>
      <c r="P100" s="66"/>
      <c r="Q100" s="66"/>
      <c r="R100" s="66"/>
      <c r="S100" s="66"/>
      <c r="T100" s="66"/>
      <c r="U100" s="66"/>
    </row>
    <row r="101" spans="6:21" s="13" customFormat="1" x14ac:dyDescent="0.2">
      <c r="G101" s="38"/>
      <c r="H101" s="66"/>
      <c r="I101" s="66"/>
      <c r="J101" s="66"/>
      <c r="K101" s="66"/>
      <c r="L101" s="66"/>
      <c r="M101" s="66"/>
      <c r="N101" s="66"/>
      <c r="O101" s="66"/>
      <c r="P101" s="66"/>
      <c r="Q101" s="66"/>
      <c r="R101" s="66"/>
      <c r="S101" s="66"/>
      <c r="T101" s="66"/>
      <c r="U101" s="66"/>
    </row>
    <row r="102" spans="6:21" s="13" customFormat="1" x14ac:dyDescent="0.2">
      <c r="G102" s="38"/>
      <c r="H102" s="66"/>
      <c r="I102" s="66"/>
      <c r="J102" s="66"/>
      <c r="K102" s="66"/>
      <c r="L102" s="66"/>
      <c r="M102" s="66"/>
      <c r="N102" s="66"/>
      <c r="O102" s="66"/>
      <c r="P102" s="66"/>
      <c r="Q102" s="66"/>
      <c r="R102" s="66"/>
      <c r="S102" s="66"/>
      <c r="T102" s="66"/>
      <c r="U102" s="66"/>
    </row>
    <row r="103" spans="6:21" s="13" customFormat="1" x14ac:dyDescent="0.2">
      <c r="G103" s="38"/>
      <c r="H103" s="66"/>
      <c r="I103" s="66"/>
      <c r="J103" s="66"/>
      <c r="K103" s="66"/>
      <c r="L103" s="66"/>
      <c r="M103" s="66"/>
      <c r="N103" s="66"/>
      <c r="O103" s="66"/>
      <c r="P103" s="66"/>
      <c r="Q103" s="66"/>
      <c r="R103" s="66"/>
      <c r="S103" s="66"/>
      <c r="T103" s="66"/>
      <c r="U103" s="66"/>
    </row>
    <row r="104" spans="6:21" s="13" customFormat="1" x14ac:dyDescent="0.2">
      <c r="G104" s="38"/>
      <c r="H104" s="66"/>
      <c r="I104" s="66"/>
      <c r="J104" s="66"/>
      <c r="K104" s="66"/>
      <c r="L104" s="66"/>
      <c r="M104" s="66"/>
      <c r="N104" s="66"/>
      <c r="O104" s="66"/>
      <c r="P104" s="66"/>
      <c r="Q104" s="66"/>
      <c r="R104" s="66"/>
      <c r="S104" s="66"/>
      <c r="T104" s="66"/>
      <c r="U104" s="66"/>
    </row>
    <row r="105" spans="6:21" s="13" customFormat="1" x14ac:dyDescent="0.2">
      <c r="G105" s="38"/>
      <c r="H105" s="66"/>
      <c r="I105" s="66"/>
      <c r="J105" s="66"/>
      <c r="K105" s="66"/>
      <c r="L105" s="66"/>
      <c r="M105" s="66"/>
      <c r="N105" s="66"/>
      <c r="O105" s="66"/>
      <c r="P105" s="66"/>
      <c r="Q105" s="66"/>
      <c r="R105" s="66"/>
      <c r="S105" s="66"/>
      <c r="T105" s="66"/>
      <c r="U105" s="66"/>
    </row>
    <row r="106" spans="6:21" s="13" customFormat="1" x14ac:dyDescent="0.2">
      <c r="G106" s="38"/>
      <c r="H106" s="66"/>
      <c r="I106" s="66"/>
      <c r="J106" s="66"/>
      <c r="K106" s="66"/>
      <c r="L106" s="66"/>
      <c r="M106" s="66"/>
      <c r="N106" s="66"/>
      <c r="O106" s="66"/>
      <c r="P106" s="66"/>
      <c r="Q106" s="66"/>
      <c r="R106" s="66"/>
      <c r="S106" s="66"/>
      <c r="T106" s="66"/>
      <c r="U106" s="66"/>
    </row>
    <row r="107" spans="6:21" s="13" customFormat="1" x14ac:dyDescent="0.2">
      <c r="G107" s="38"/>
      <c r="H107" s="66"/>
      <c r="I107" s="66"/>
      <c r="J107" s="66"/>
      <c r="K107" s="66"/>
      <c r="L107" s="66"/>
      <c r="M107" s="66"/>
      <c r="N107" s="66"/>
      <c r="O107" s="66"/>
      <c r="P107" s="66"/>
      <c r="Q107" s="66"/>
      <c r="R107" s="66"/>
      <c r="S107" s="66"/>
      <c r="T107" s="66"/>
      <c r="U107" s="66"/>
    </row>
    <row r="108" spans="6:21" s="13" customFormat="1" x14ac:dyDescent="0.2">
      <c r="F108" s="104"/>
      <c r="H108" s="66"/>
      <c r="I108" s="66"/>
      <c r="J108" s="66"/>
      <c r="K108" s="66"/>
      <c r="L108" s="66"/>
      <c r="M108" s="66"/>
      <c r="N108" s="66"/>
      <c r="O108" s="66"/>
      <c r="P108" s="66"/>
      <c r="Q108" s="66"/>
      <c r="R108" s="66"/>
      <c r="S108" s="66"/>
      <c r="T108" s="66"/>
      <c r="U108" s="66"/>
    </row>
    <row r="109" spans="6:21" s="13" customFormat="1" x14ac:dyDescent="0.2">
      <c r="F109" s="104"/>
      <c r="H109" s="66"/>
      <c r="I109" s="66"/>
      <c r="J109" s="66"/>
      <c r="K109" s="66"/>
      <c r="L109" s="66"/>
      <c r="M109" s="66"/>
      <c r="N109" s="66"/>
      <c r="O109" s="66"/>
      <c r="P109" s="66"/>
      <c r="Q109" s="66"/>
      <c r="R109" s="66"/>
      <c r="S109" s="66"/>
      <c r="T109" s="66"/>
      <c r="U109" s="66"/>
    </row>
    <row r="110" spans="6:21" s="13" customFormat="1" x14ac:dyDescent="0.2">
      <c r="F110" s="104"/>
      <c r="H110" s="66"/>
      <c r="I110" s="66"/>
      <c r="J110" s="66"/>
      <c r="K110" s="66"/>
      <c r="L110" s="66"/>
      <c r="M110" s="66"/>
      <c r="N110" s="66"/>
      <c r="O110" s="66"/>
      <c r="P110" s="66"/>
      <c r="Q110" s="66"/>
      <c r="R110" s="66"/>
      <c r="S110" s="66"/>
      <c r="T110" s="66"/>
      <c r="U110" s="66"/>
    </row>
    <row r="111" spans="6:21" s="13" customFormat="1" x14ac:dyDescent="0.2">
      <c r="F111" s="104"/>
      <c r="H111" s="66"/>
      <c r="I111" s="66"/>
      <c r="J111" s="66"/>
      <c r="K111" s="66"/>
      <c r="L111" s="66"/>
      <c r="M111" s="66"/>
      <c r="N111" s="66"/>
      <c r="O111" s="66"/>
      <c r="P111" s="66"/>
      <c r="Q111" s="66"/>
      <c r="R111" s="66"/>
      <c r="S111" s="66"/>
      <c r="T111" s="66"/>
      <c r="U111" s="66"/>
    </row>
    <row r="112" spans="6:21" s="13" customFormat="1" x14ac:dyDescent="0.2">
      <c r="F112" s="104"/>
      <c r="H112" s="66"/>
      <c r="I112" s="66"/>
      <c r="J112" s="66"/>
      <c r="K112" s="66"/>
      <c r="L112" s="66"/>
      <c r="M112" s="66"/>
      <c r="N112" s="66"/>
      <c r="O112" s="66"/>
      <c r="P112" s="66"/>
      <c r="Q112" s="66"/>
      <c r="R112" s="66"/>
      <c r="S112" s="66"/>
      <c r="T112" s="66"/>
      <c r="U112" s="66"/>
    </row>
    <row r="113" spans="6:21" s="13" customFormat="1" x14ac:dyDescent="0.2">
      <c r="F113" s="104"/>
      <c r="H113" s="66"/>
      <c r="I113" s="66"/>
      <c r="J113" s="66"/>
      <c r="K113" s="66"/>
      <c r="L113" s="66"/>
      <c r="M113" s="66"/>
      <c r="N113" s="66"/>
      <c r="O113" s="66"/>
      <c r="P113" s="66"/>
      <c r="Q113" s="66"/>
      <c r="R113" s="66"/>
      <c r="S113" s="66"/>
      <c r="T113" s="66"/>
      <c r="U113" s="66"/>
    </row>
    <row r="114" spans="6:21" s="13" customFormat="1" x14ac:dyDescent="0.2">
      <c r="F114" s="104"/>
      <c r="H114" s="66"/>
      <c r="I114" s="66"/>
      <c r="J114" s="66"/>
      <c r="K114" s="66"/>
      <c r="L114" s="66"/>
      <c r="M114" s="66"/>
      <c r="N114" s="66"/>
      <c r="O114" s="66"/>
      <c r="P114" s="66"/>
      <c r="Q114" s="66"/>
      <c r="R114" s="66"/>
      <c r="S114" s="66"/>
      <c r="T114" s="66"/>
      <c r="U114" s="66"/>
    </row>
    <row r="115" spans="6:21" s="13" customFormat="1" x14ac:dyDescent="0.2">
      <c r="F115" s="104"/>
      <c r="H115" s="66"/>
      <c r="I115" s="66"/>
      <c r="J115" s="66"/>
      <c r="K115" s="66"/>
      <c r="L115" s="66"/>
      <c r="M115" s="66"/>
      <c r="N115" s="66"/>
      <c r="O115" s="66"/>
      <c r="P115" s="66"/>
      <c r="Q115" s="66"/>
      <c r="R115" s="66"/>
      <c r="S115" s="66"/>
      <c r="T115" s="66"/>
      <c r="U115" s="66"/>
    </row>
    <row r="116" spans="6:21" s="13" customFormat="1" x14ac:dyDescent="0.2">
      <c r="F116" s="104"/>
      <c r="H116" s="66"/>
      <c r="I116" s="66"/>
      <c r="J116" s="66"/>
      <c r="K116" s="66"/>
      <c r="L116" s="66"/>
      <c r="M116" s="66"/>
      <c r="N116" s="66"/>
      <c r="O116" s="66"/>
      <c r="P116" s="66"/>
      <c r="Q116" s="66"/>
      <c r="R116" s="66"/>
      <c r="S116" s="66"/>
      <c r="T116" s="66"/>
      <c r="U116" s="66"/>
    </row>
    <row r="117" spans="6:21" s="13" customFormat="1" x14ac:dyDescent="0.2">
      <c r="F117" s="104"/>
      <c r="H117" s="66"/>
      <c r="I117" s="66"/>
      <c r="J117" s="66"/>
      <c r="K117" s="66"/>
      <c r="L117" s="66"/>
      <c r="M117" s="66"/>
      <c r="N117" s="66"/>
      <c r="O117" s="66"/>
      <c r="P117" s="66"/>
      <c r="Q117" s="66"/>
      <c r="R117" s="66"/>
      <c r="S117" s="66"/>
      <c r="T117" s="66"/>
      <c r="U117" s="66"/>
    </row>
    <row r="118" spans="6:21" s="13" customFormat="1" x14ac:dyDescent="0.2">
      <c r="F118" s="104"/>
      <c r="H118" s="66"/>
      <c r="I118" s="66"/>
      <c r="J118" s="66"/>
      <c r="K118" s="66"/>
      <c r="L118" s="66"/>
      <c r="M118" s="66"/>
      <c r="N118" s="66"/>
      <c r="O118" s="66"/>
      <c r="P118" s="66"/>
      <c r="Q118" s="66"/>
      <c r="R118" s="66"/>
      <c r="S118" s="66"/>
      <c r="T118" s="66"/>
      <c r="U118" s="66"/>
    </row>
    <row r="119" spans="6:21" s="13" customFormat="1" x14ac:dyDescent="0.2">
      <c r="F119" s="104"/>
      <c r="H119" s="66"/>
      <c r="I119" s="66"/>
      <c r="J119" s="66"/>
      <c r="K119" s="66"/>
      <c r="L119" s="66"/>
      <c r="M119" s="66"/>
      <c r="N119" s="66"/>
      <c r="O119" s="66"/>
      <c r="P119" s="66"/>
      <c r="Q119" s="66"/>
      <c r="R119" s="66"/>
      <c r="S119" s="66"/>
      <c r="T119" s="66"/>
      <c r="U119" s="66"/>
    </row>
    <row r="120" spans="6:21" s="13" customFormat="1" x14ac:dyDescent="0.2">
      <c r="F120" s="104"/>
      <c r="H120" s="66"/>
      <c r="I120" s="66"/>
      <c r="J120" s="66"/>
      <c r="K120" s="66"/>
      <c r="L120" s="66"/>
      <c r="M120" s="66"/>
      <c r="N120" s="66"/>
      <c r="O120" s="66"/>
      <c r="P120" s="66"/>
      <c r="Q120" s="66"/>
      <c r="R120" s="66"/>
      <c r="S120" s="66"/>
      <c r="T120" s="66"/>
      <c r="U120" s="66"/>
    </row>
    <row r="121" spans="6:21" s="13" customFormat="1" x14ac:dyDescent="0.2">
      <c r="F121" s="104"/>
      <c r="H121" s="66"/>
      <c r="I121" s="66"/>
      <c r="J121" s="66"/>
      <c r="K121" s="66"/>
      <c r="L121" s="66"/>
      <c r="M121" s="66"/>
      <c r="N121" s="66"/>
      <c r="O121" s="66"/>
      <c r="P121" s="66"/>
      <c r="Q121" s="66"/>
      <c r="R121" s="66"/>
      <c r="S121" s="66"/>
      <c r="T121" s="66"/>
      <c r="U121" s="66"/>
    </row>
    <row r="122" spans="6:21" s="13" customFormat="1" x14ac:dyDescent="0.2">
      <c r="F122" s="104"/>
      <c r="H122" s="66"/>
      <c r="I122" s="66"/>
      <c r="J122" s="66"/>
      <c r="K122" s="66"/>
      <c r="L122" s="66"/>
      <c r="M122" s="66"/>
      <c r="N122" s="66"/>
      <c r="O122" s="66"/>
      <c r="P122" s="66"/>
      <c r="Q122" s="66"/>
      <c r="R122" s="66"/>
      <c r="S122" s="66"/>
      <c r="T122" s="66"/>
      <c r="U122" s="66"/>
    </row>
    <row r="123" spans="6:21" s="13" customFormat="1" x14ac:dyDescent="0.2">
      <c r="F123" s="104"/>
      <c r="H123" s="66"/>
      <c r="I123" s="66"/>
      <c r="J123" s="66"/>
      <c r="K123" s="66"/>
      <c r="L123" s="66"/>
      <c r="M123" s="66"/>
      <c r="N123" s="66"/>
      <c r="O123" s="66"/>
      <c r="P123" s="66"/>
      <c r="Q123" s="66"/>
      <c r="R123" s="66"/>
      <c r="S123" s="66"/>
      <c r="T123" s="66"/>
      <c r="U123" s="66"/>
    </row>
    <row r="124" spans="6:21" s="13" customFormat="1" x14ac:dyDescent="0.2">
      <c r="F124" s="104"/>
      <c r="H124" s="66"/>
      <c r="I124" s="66"/>
      <c r="J124" s="66"/>
      <c r="K124" s="66"/>
      <c r="L124" s="66"/>
      <c r="M124" s="66"/>
      <c r="N124" s="66"/>
      <c r="O124" s="66"/>
      <c r="P124" s="66"/>
      <c r="Q124" s="66"/>
      <c r="R124" s="66"/>
      <c r="S124" s="66"/>
      <c r="T124" s="66"/>
      <c r="U124" s="66"/>
    </row>
    <row r="125" spans="6:21" s="13" customFormat="1" x14ac:dyDescent="0.2">
      <c r="F125" s="104"/>
      <c r="H125" s="66"/>
      <c r="I125" s="66"/>
      <c r="J125" s="66"/>
      <c r="K125" s="66"/>
      <c r="L125" s="66"/>
      <c r="M125" s="66"/>
      <c r="N125" s="66"/>
      <c r="O125" s="66"/>
      <c r="P125" s="66"/>
      <c r="Q125" s="66"/>
      <c r="R125" s="66"/>
      <c r="S125" s="66"/>
      <c r="T125" s="66"/>
      <c r="U125" s="66"/>
    </row>
    <row r="126" spans="6:21" s="13" customFormat="1" x14ac:dyDescent="0.2">
      <c r="F126" s="104"/>
      <c r="H126" s="66"/>
      <c r="I126" s="66"/>
      <c r="J126" s="66"/>
      <c r="K126" s="66"/>
      <c r="L126" s="66"/>
      <c r="M126" s="66"/>
      <c r="N126" s="66"/>
      <c r="O126" s="66"/>
      <c r="P126" s="66"/>
      <c r="Q126" s="66"/>
      <c r="R126" s="66"/>
      <c r="S126" s="66"/>
      <c r="T126" s="66"/>
      <c r="U126" s="66"/>
    </row>
    <row r="127" spans="6:21" s="13" customFormat="1" x14ac:dyDescent="0.2">
      <c r="F127" s="104"/>
      <c r="H127" s="66"/>
      <c r="I127" s="66"/>
      <c r="J127" s="66"/>
      <c r="K127" s="66"/>
      <c r="L127" s="66"/>
      <c r="M127" s="66"/>
      <c r="N127" s="66"/>
      <c r="O127" s="66"/>
      <c r="P127" s="66"/>
      <c r="Q127" s="66"/>
      <c r="R127" s="66"/>
      <c r="S127" s="66"/>
      <c r="T127" s="66"/>
      <c r="U127" s="66"/>
    </row>
    <row r="128" spans="6:21" s="13" customFormat="1" x14ac:dyDescent="0.2">
      <c r="F128" s="104"/>
      <c r="H128" s="66"/>
      <c r="I128" s="66"/>
      <c r="J128" s="66"/>
      <c r="K128" s="66"/>
      <c r="L128" s="66"/>
      <c r="M128" s="66"/>
      <c r="N128" s="66"/>
      <c r="O128" s="66"/>
      <c r="P128" s="66"/>
      <c r="Q128" s="66"/>
      <c r="R128" s="66"/>
      <c r="S128" s="66"/>
      <c r="T128" s="66"/>
      <c r="U128" s="66"/>
    </row>
    <row r="129" spans="6:21" s="13" customFormat="1" x14ac:dyDescent="0.2">
      <c r="F129" s="104"/>
      <c r="H129" s="66"/>
      <c r="I129" s="66"/>
      <c r="J129" s="66"/>
      <c r="K129" s="66"/>
      <c r="L129" s="66"/>
      <c r="M129" s="66"/>
      <c r="N129" s="66"/>
      <c r="O129" s="66"/>
      <c r="P129" s="66"/>
      <c r="Q129" s="66"/>
      <c r="R129" s="66"/>
      <c r="S129" s="66"/>
      <c r="T129" s="66"/>
      <c r="U129" s="66"/>
    </row>
    <row r="130" spans="6:21" s="13" customFormat="1" x14ac:dyDescent="0.2">
      <c r="F130" s="104"/>
      <c r="H130" s="66"/>
      <c r="I130" s="66"/>
      <c r="J130" s="66"/>
      <c r="K130" s="66"/>
      <c r="L130" s="66"/>
      <c r="M130" s="66"/>
      <c r="N130" s="66"/>
      <c r="O130" s="66"/>
      <c r="P130" s="66"/>
      <c r="Q130" s="66"/>
      <c r="R130" s="66"/>
      <c r="S130" s="66"/>
      <c r="T130" s="66"/>
      <c r="U130" s="66"/>
    </row>
    <row r="131" spans="6:21" s="13" customFormat="1" x14ac:dyDescent="0.2">
      <c r="F131" s="104"/>
      <c r="H131" s="66"/>
      <c r="I131" s="66"/>
      <c r="J131" s="66"/>
      <c r="K131" s="66"/>
      <c r="L131" s="66"/>
      <c r="M131" s="66"/>
      <c r="N131" s="66"/>
      <c r="O131" s="66"/>
      <c r="P131" s="66"/>
      <c r="Q131" s="66"/>
      <c r="R131" s="66"/>
      <c r="S131" s="66"/>
      <c r="T131" s="66"/>
      <c r="U131" s="66"/>
    </row>
    <row r="132" spans="6:21" s="13" customFormat="1" x14ac:dyDescent="0.2">
      <c r="F132" s="104"/>
      <c r="H132" s="66"/>
      <c r="I132" s="66"/>
      <c r="J132" s="66"/>
      <c r="K132" s="66"/>
      <c r="L132" s="66"/>
      <c r="M132" s="66"/>
      <c r="N132" s="66"/>
      <c r="O132" s="66"/>
      <c r="P132" s="66"/>
      <c r="Q132" s="66"/>
      <c r="R132" s="66"/>
      <c r="S132" s="66"/>
      <c r="T132" s="66"/>
      <c r="U132" s="66"/>
    </row>
    <row r="133" spans="6:21" s="13" customFormat="1" x14ac:dyDescent="0.2">
      <c r="F133" s="104"/>
      <c r="H133" s="66"/>
      <c r="I133" s="66"/>
      <c r="J133" s="66"/>
      <c r="K133" s="66"/>
      <c r="L133" s="66"/>
      <c r="M133" s="66"/>
      <c r="N133" s="66"/>
      <c r="O133" s="66"/>
      <c r="P133" s="66"/>
      <c r="Q133" s="66"/>
      <c r="R133" s="66"/>
      <c r="S133" s="66"/>
      <c r="T133" s="66"/>
      <c r="U133" s="66"/>
    </row>
    <row r="134" spans="6:21" s="13" customFormat="1" x14ac:dyDescent="0.2">
      <c r="F134" s="104"/>
      <c r="H134" s="66"/>
      <c r="I134" s="66"/>
      <c r="J134" s="66"/>
      <c r="K134" s="66"/>
      <c r="L134" s="66"/>
      <c r="M134" s="66"/>
      <c r="N134" s="66"/>
      <c r="O134" s="66"/>
      <c r="P134" s="66"/>
      <c r="Q134" s="66"/>
      <c r="R134" s="66"/>
      <c r="S134" s="66"/>
      <c r="T134" s="66"/>
      <c r="U134" s="66"/>
    </row>
    <row r="135" spans="6:21" s="13" customFormat="1" x14ac:dyDescent="0.2">
      <c r="F135" s="104"/>
      <c r="H135" s="66"/>
      <c r="I135" s="66"/>
      <c r="J135" s="66"/>
      <c r="K135" s="66"/>
      <c r="L135" s="66"/>
      <c r="M135" s="66"/>
      <c r="N135" s="66"/>
      <c r="O135" s="66"/>
      <c r="P135" s="66"/>
      <c r="Q135" s="66"/>
      <c r="R135" s="66"/>
      <c r="S135" s="66"/>
      <c r="T135" s="66"/>
      <c r="U135" s="66"/>
    </row>
    <row r="136" spans="6:21" s="13" customFormat="1" x14ac:dyDescent="0.2">
      <c r="F136" s="104"/>
      <c r="H136" s="66"/>
      <c r="I136" s="66"/>
      <c r="J136" s="66"/>
      <c r="K136" s="66"/>
      <c r="L136" s="66"/>
      <c r="M136" s="66"/>
      <c r="N136" s="66"/>
      <c r="O136" s="66"/>
      <c r="P136" s="66"/>
      <c r="Q136" s="66"/>
      <c r="R136" s="66"/>
      <c r="S136" s="66"/>
      <c r="T136" s="66"/>
      <c r="U136" s="66"/>
    </row>
    <row r="137" spans="6:21" s="13" customFormat="1" x14ac:dyDescent="0.2">
      <c r="F137" s="104"/>
      <c r="H137" s="66"/>
      <c r="I137" s="66"/>
      <c r="J137" s="66"/>
      <c r="K137" s="66"/>
      <c r="L137" s="66"/>
      <c r="M137" s="66"/>
      <c r="N137" s="66"/>
      <c r="O137" s="66"/>
      <c r="P137" s="66"/>
      <c r="Q137" s="66"/>
      <c r="R137" s="66"/>
      <c r="S137" s="66"/>
      <c r="T137" s="66"/>
      <c r="U137" s="66"/>
    </row>
    <row r="138" spans="6:21" s="13" customFormat="1" x14ac:dyDescent="0.2">
      <c r="F138" s="104"/>
      <c r="H138" s="66"/>
      <c r="I138" s="66"/>
      <c r="J138" s="66"/>
      <c r="K138" s="66"/>
      <c r="L138" s="66"/>
      <c r="M138" s="66"/>
      <c r="N138" s="66"/>
      <c r="O138" s="66"/>
      <c r="P138" s="66"/>
      <c r="Q138" s="66"/>
      <c r="R138" s="66"/>
      <c r="S138" s="66"/>
      <c r="T138" s="66"/>
      <c r="U138" s="66"/>
    </row>
    <row r="139" spans="6:21" s="13" customFormat="1" ht="18.75" x14ac:dyDescent="0.2">
      <c r="F139" s="104"/>
      <c r="H139" s="410"/>
      <c r="I139" s="410"/>
      <c r="J139" s="410"/>
      <c r="K139" s="410"/>
      <c r="L139" s="410"/>
      <c r="M139" s="410"/>
      <c r="N139" s="66"/>
      <c r="O139" s="66"/>
      <c r="P139" s="66"/>
      <c r="Q139" s="66"/>
      <c r="R139" s="66"/>
      <c r="S139" s="66"/>
      <c r="T139" s="66"/>
      <c r="U139" s="66"/>
    </row>
    <row r="140" spans="6:21" s="13" customFormat="1" x14ac:dyDescent="0.2">
      <c r="F140" s="104"/>
      <c r="H140" s="66"/>
      <c r="I140" s="66"/>
      <c r="J140" s="66"/>
      <c r="K140" s="66"/>
      <c r="L140" s="66"/>
      <c r="M140" s="66"/>
      <c r="N140" s="66"/>
      <c r="O140" s="66"/>
      <c r="P140" s="66"/>
      <c r="Q140" s="66"/>
      <c r="R140" s="66"/>
      <c r="S140" s="66"/>
      <c r="T140" s="66"/>
      <c r="U140" s="66"/>
    </row>
    <row r="141" spans="6:21" s="13" customFormat="1" x14ac:dyDescent="0.2">
      <c r="F141" s="104"/>
      <c r="H141" s="66"/>
      <c r="I141" s="66"/>
      <c r="J141" s="66"/>
      <c r="K141" s="66"/>
      <c r="L141" s="66"/>
      <c r="M141" s="66"/>
      <c r="N141" s="66"/>
      <c r="O141" s="66"/>
      <c r="P141" s="66"/>
      <c r="Q141" s="66"/>
      <c r="R141" s="66"/>
      <c r="S141" s="66"/>
      <c r="T141" s="66"/>
      <c r="U141" s="66"/>
    </row>
    <row r="142" spans="6:21" s="13" customFormat="1" x14ac:dyDescent="0.2">
      <c r="F142" s="104"/>
      <c r="H142" s="415"/>
      <c r="I142" s="415"/>
      <c r="J142" s="415"/>
      <c r="K142" s="415"/>
      <c r="L142" s="415"/>
      <c r="M142" s="415"/>
      <c r="N142" s="415"/>
      <c r="O142" s="66"/>
      <c r="P142" s="66"/>
      <c r="Q142" s="66"/>
      <c r="R142" s="66"/>
      <c r="S142" s="66"/>
      <c r="T142" s="66"/>
      <c r="U142" s="66"/>
    </row>
    <row r="143" spans="6:21" s="13" customFormat="1" x14ac:dyDescent="0.2">
      <c r="F143" s="104"/>
      <c r="H143" s="66"/>
      <c r="I143" s="66"/>
      <c r="J143" s="66"/>
      <c r="K143" s="66"/>
      <c r="L143" s="66"/>
      <c r="M143" s="66"/>
      <c r="N143" s="66"/>
      <c r="O143" s="66"/>
      <c r="P143" s="66"/>
      <c r="Q143" s="66"/>
      <c r="R143" s="66"/>
      <c r="S143" s="66"/>
      <c r="T143" s="66"/>
      <c r="U143" s="66"/>
    </row>
    <row r="144" spans="6:21" s="13" customFormat="1" x14ac:dyDescent="0.2">
      <c r="F144" s="104"/>
      <c r="H144" s="66"/>
      <c r="I144" s="66"/>
      <c r="J144" s="66"/>
      <c r="K144" s="66"/>
      <c r="L144" s="66"/>
      <c r="M144" s="66"/>
      <c r="N144" s="66"/>
      <c r="O144" s="66"/>
      <c r="P144" s="66"/>
      <c r="Q144" s="66"/>
      <c r="R144" s="66"/>
      <c r="S144" s="66"/>
      <c r="T144" s="66"/>
      <c r="U144" s="66"/>
    </row>
    <row r="145" spans="6:21" s="13" customFormat="1" x14ac:dyDescent="0.2">
      <c r="F145" s="104"/>
      <c r="H145" s="66"/>
      <c r="I145" s="66"/>
      <c r="J145" s="66"/>
      <c r="K145" s="66"/>
      <c r="L145" s="66"/>
      <c r="M145" s="66"/>
      <c r="N145" s="66"/>
      <c r="O145" s="66"/>
      <c r="P145" s="66"/>
      <c r="Q145" s="66"/>
      <c r="R145" s="66"/>
      <c r="S145" s="66"/>
      <c r="T145" s="66"/>
      <c r="U145" s="66"/>
    </row>
    <row r="146" spans="6:21" s="13" customFormat="1" x14ac:dyDescent="0.2">
      <c r="F146" s="104"/>
      <c r="H146" s="66"/>
      <c r="I146" s="66"/>
      <c r="J146" s="66"/>
      <c r="K146" s="66"/>
      <c r="L146" s="66"/>
      <c r="M146" s="66"/>
      <c r="N146" s="66"/>
      <c r="O146" s="66"/>
      <c r="P146" s="66"/>
      <c r="Q146" s="66"/>
      <c r="R146" s="66"/>
      <c r="S146" s="66"/>
      <c r="T146" s="66"/>
      <c r="U146" s="66"/>
    </row>
    <row r="147" spans="6:21" s="13" customFormat="1" x14ac:dyDescent="0.2">
      <c r="F147" s="104"/>
      <c r="H147" s="66"/>
      <c r="I147" s="66"/>
      <c r="J147" s="66"/>
      <c r="K147" s="66"/>
      <c r="L147" s="66"/>
      <c r="M147" s="66"/>
      <c r="N147" s="66"/>
      <c r="O147" s="66"/>
      <c r="P147" s="66"/>
      <c r="Q147" s="66"/>
      <c r="R147" s="66"/>
      <c r="S147" s="66"/>
      <c r="T147" s="66"/>
      <c r="U147" s="66"/>
    </row>
    <row r="148" spans="6:21" s="13" customFormat="1" x14ac:dyDescent="0.2">
      <c r="F148" s="104"/>
      <c r="H148" s="66"/>
      <c r="I148" s="66"/>
      <c r="J148" s="66"/>
      <c r="K148" s="66"/>
      <c r="L148" s="66"/>
      <c r="M148" s="66"/>
      <c r="N148" s="66"/>
      <c r="O148" s="66"/>
      <c r="P148" s="66"/>
      <c r="Q148" s="66"/>
      <c r="R148" s="66"/>
      <c r="S148" s="66"/>
      <c r="T148" s="66"/>
      <c r="U148" s="66"/>
    </row>
    <row r="149" spans="6:21" s="13" customFormat="1" x14ac:dyDescent="0.2">
      <c r="F149" s="104"/>
      <c r="H149" s="66"/>
      <c r="I149" s="66"/>
      <c r="J149" s="66"/>
      <c r="K149" s="66"/>
      <c r="L149" s="66"/>
      <c r="M149" s="66"/>
      <c r="N149" s="66"/>
      <c r="O149" s="66"/>
      <c r="P149" s="66"/>
      <c r="Q149" s="66"/>
      <c r="R149" s="66"/>
      <c r="S149" s="66"/>
      <c r="T149" s="66"/>
      <c r="U149" s="66"/>
    </row>
    <row r="150" spans="6:21" s="13" customFormat="1" x14ac:dyDescent="0.2">
      <c r="F150" s="104"/>
      <c r="H150" s="66"/>
      <c r="I150" s="66"/>
      <c r="J150" s="66"/>
      <c r="K150" s="66"/>
      <c r="L150" s="66"/>
      <c r="M150" s="66"/>
      <c r="N150" s="66"/>
      <c r="O150" s="66"/>
      <c r="P150" s="66"/>
      <c r="Q150" s="66"/>
      <c r="R150" s="66"/>
      <c r="S150" s="66"/>
      <c r="T150" s="66"/>
      <c r="U150" s="66"/>
    </row>
    <row r="151" spans="6:21" s="13" customFormat="1" x14ac:dyDescent="0.2">
      <c r="F151" s="104"/>
      <c r="H151" s="66"/>
      <c r="I151" s="66"/>
      <c r="J151" s="66"/>
      <c r="K151" s="66"/>
      <c r="L151" s="66"/>
      <c r="M151" s="66"/>
      <c r="N151" s="66"/>
      <c r="O151" s="66"/>
      <c r="P151" s="66"/>
      <c r="Q151" s="66"/>
      <c r="R151" s="66"/>
      <c r="S151" s="66"/>
      <c r="T151" s="66"/>
      <c r="U151" s="66"/>
    </row>
    <row r="152" spans="6:21" s="13" customFormat="1" x14ac:dyDescent="0.2">
      <c r="F152" s="104"/>
      <c r="H152" s="66"/>
      <c r="I152" s="66"/>
      <c r="J152" s="66"/>
      <c r="K152" s="66"/>
      <c r="L152" s="66"/>
      <c r="M152" s="66"/>
      <c r="N152" s="66"/>
      <c r="O152" s="66"/>
      <c r="P152" s="66"/>
      <c r="Q152" s="66"/>
      <c r="R152" s="66"/>
      <c r="S152" s="66"/>
      <c r="T152" s="66"/>
      <c r="U152" s="66"/>
    </row>
    <row r="153" spans="6:21" s="13" customFormat="1" x14ac:dyDescent="0.2">
      <c r="F153" s="104"/>
      <c r="H153" s="66"/>
      <c r="I153" s="66"/>
      <c r="J153" s="66"/>
      <c r="K153" s="66"/>
      <c r="L153" s="66"/>
      <c r="M153" s="66"/>
      <c r="N153" s="66"/>
      <c r="O153" s="66"/>
      <c r="P153" s="66"/>
      <c r="Q153" s="66"/>
      <c r="R153" s="66"/>
      <c r="S153" s="66"/>
      <c r="T153" s="66"/>
      <c r="U153" s="66"/>
    </row>
    <row r="154" spans="6:21" s="13" customFormat="1" x14ac:dyDescent="0.2">
      <c r="F154" s="104"/>
      <c r="H154" s="66"/>
      <c r="I154" s="66"/>
      <c r="J154" s="66"/>
      <c r="K154" s="66"/>
      <c r="L154" s="66"/>
      <c r="M154" s="66"/>
      <c r="N154" s="66"/>
      <c r="O154" s="66"/>
      <c r="P154" s="66"/>
      <c r="Q154" s="66"/>
      <c r="R154" s="66"/>
      <c r="S154" s="66"/>
      <c r="T154" s="66"/>
      <c r="U154" s="66"/>
    </row>
    <row r="155" spans="6:21" s="13" customFormat="1" x14ac:dyDescent="0.2">
      <c r="F155" s="104"/>
      <c r="H155" s="66"/>
      <c r="I155" s="66"/>
      <c r="J155" s="66"/>
      <c r="K155" s="66"/>
      <c r="L155" s="66"/>
      <c r="M155" s="66"/>
      <c r="N155" s="66"/>
      <c r="O155" s="66"/>
      <c r="P155" s="66"/>
      <c r="Q155" s="66"/>
      <c r="R155" s="66"/>
      <c r="S155" s="66"/>
      <c r="T155" s="66"/>
      <c r="U155" s="66"/>
    </row>
    <row r="156" spans="6:21" s="13" customFormat="1" x14ac:dyDescent="0.2">
      <c r="F156" s="104"/>
      <c r="H156" s="66"/>
      <c r="I156" s="66"/>
      <c r="J156" s="66"/>
      <c r="K156" s="66"/>
      <c r="L156" s="66"/>
      <c r="M156" s="66"/>
      <c r="N156" s="66"/>
      <c r="O156" s="66"/>
      <c r="P156" s="66"/>
      <c r="Q156" s="66"/>
      <c r="R156" s="66"/>
      <c r="S156" s="66"/>
      <c r="T156" s="66"/>
      <c r="U156" s="66"/>
    </row>
    <row r="157" spans="6:21" s="13" customFormat="1" x14ac:dyDescent="0.2">
      <c r="F157" s="104"/>
      <c r="H157" s="66"/>
      <c r="I157" s="66"/>
      <c r="J157" s="66"/>
      <c r="K157" s="66"/>
      <c r="L157" s="66"/>
      <c r="M157" s="66"/>
      <c r="N157" s="66"/>
      <c r="O157" s="66"/>
      <c r="P157" s="66"/>
      <c r="Q157" s="66"/>
      <c r="R157" s="66"/>
      <c r="S157" s="66"/>
      <c r="T157" s="66"/>
      <c r="U157" s="66"/>
    </row>
    <row r="158" spans="6:21" s="13" customFormat="1" x14ac:dyDescent="0.2">
      <c r="F158" s="104"/>
      <c r="H158" s="66"/>
      <c r="I158" s="66"/>
      <c r="J158" s="66"/>
      <c r="K158" s="66"/>
      <c r="L158" s="66"/>
      <c r="M158" s="66"/>
      <c r="N158" s="66"/>
      <c r="O158" s="66"/>
      <c r="P158" s="66"/>
      <c r="Q158" s="66"/>
      <c r="R158" s="66"/>
      <c r="S158" s="66"/>
      <c r="T158" s="66"/>
      <c r="U158" s="66"/>
    </row>
    <row r="159" spans="6:21" s="13" customFormat="1" x14ac:dyDescent="0.2">
      <c r="H159" s="66"/>
      <c r="I159" s="66"/>
      <c r="J159" s="66"/>
      <c r="K159" s="66"/>
      <c r="L159" s="66"/>
      <c r="M159" s="66"/>
      <c r="N159" s="66"/>
      <c r="O159" s="66"/>
      <c r="P159" s="66"/>
      <c r="Q159" s="66"/>
      <c r="R159" s="66"/>
      <c r="S159" s="66"/>
      <c r="T159" s="66"/>
      <c r="U159" s="66"/>
    </row>
    <row r="160" spans="6:21" s="13" customFormat="1" x14ac:dyDescent="0.2">
      <c r="H160" s="66"/>
      <c r="I160" s="66"/>
      <c r="J160" s="66"/>
      <c r="K160" s="66"/>
      <c r="L160" s="66"/>
      <c r="M160" s="66"/>
      <c r="N160" s="66"/>
      <c r="O160" s="66"/>
      <c r="P160" s="66"/>
      <c r="Q160" s="66"/>
      <c r="R160" s="66"/>
      <c r="S160" s="66"/>
      <c r="T160" s="66"/>
      <c r="U160" s="66"/>
    </row>
    <row r="161" spans="8:21" s="13" customFormat="1" x14ac:dyDescent="0.2">
      <c r="H161" s="66"/>
      <c r="I161" s="66"/>
      <c r="J161" s="66"/>
      <c r="K161" s="66"/>
      <c r="L161" s="66"/>
      <c r="M161" s="66"/>
      <c r="N161" s="66"/>
      <c r="O161" s="66"/>
      <c r="P161" s="66"/>
      <c r="Q161" s="66"/>
      <c r="R161" s="66"/>
      <c r="S161" s="66"/>
      <c r="T161" s="66"/>
      <c r="U161" s="66"/>
    </row>
    <row r="162" spans="8:21" s="13" customFormat="1" x14ac:dyDescent="0.2">
      <c r="H162" s="66"/>
      <c r="I162" s="66"/>
      <c r="J162" s="66"/>
      <c r="K162" s="66"/>
      <c r="L162" s="66"/>
      <c r="M162" s="66"/>
      <c r="N162" s="66"/>
      <c r="O162" s="66"/>
      <c r="P162" s="66"/>
      <c r="Q162" s="66"/>
      <c r="R162" s="66"/>
      <c r="S162" s="66"/>
      <c r="T162" s="66"/>
      <c r="U162" s="66"/>
    </row>
    <row r="163" spans="8:21" s="13" customFormat="1" x14ac:dyDescent="0.2">
      <c r="H163" s="66"/>
      <c r="I163" s="66"/>
      <c r="J163" s="66"/>
      <c r="K163" s="66"/>
      <c r="L163" s="66"/>
      <c r="M163" s="66"/>
      <c r="N163" s="66"/>
      <c r="O163" s="66"/>
      <c r="P163" s="66"/>
      <c r="Q163" s="66"/>
      <c r="R163" s="66"/>
      <c r="S163" s="66"/>
      <c r="T163" s="66"/>
      <c r="U163" s="66"/>
    </row>
    <row r="164" spans="8:21" s="13" customFormat="1" x14ac:dyDescent="0.2">
      <c r="H164" s="66"/>
      <c r="I164" s="66"/>
      <c r="J164" s="66"/>
      <c r="K164" s="66"/>
      <c r="L164" s="66"/>
      <c r="M164" s="66"/>
      <c r="N164" s="66"/>
      <c r="O164" s="66"/>
      <c r="P164" s="66"/>
      <c r="Q164" s="66"/>
      <c r="R164" s="66"/>
      <c r="S164" s="66"/>
      <c r="T164" s="66"/>
      <c r="U164" s="66"/>
    </row>
    <row r="165" spans="8:21" s="13" customFormat="1" x14ac:dyDescent="0.2">
      <c r="H165" s="66"/>
      <c r="I165" s="66"/>
      <c r="J165" s="66"/>
      <c r="K165" s="66"/>
      <c r="L165" s="66"/>
      <c r="M165" s="66"/>
      <c r="N165" s="66"/>
      <c r="O165" s="66"/>
      <c r="P165" s="66"/>
      <c r="Q165" s="66"/>
      <c r="R165" s="66"/>
      <c r="S165" s="66"/>
      <c r="T165" s="66"/>
      <c r="U165" s="66"/>
    </row>
    <row r="166" spans="8:21" s="13" customFormat="1" x14ac:dyDescent="0.2">
      <c r="H166" s="66"/>
      <c r="I166" s="66"/>
      <c r="J166" s="66"/>
      <c r="K166" s="66"/>
      <c r="L166" s="66"/>
      <c r="M166" s="66"/>
      <c r="N166" s="66"/>
      <c r="O166" s="66"/>
      <c r="P166" s="66"/>
      <c r="Q166" s="66"/>
      <c r="R166" s="66"/>
      <c r="S166" s="66"/>
      <c r="T166" s="66"/>
      <c r="U166" s="66"/>
    </row>
    <row r="167" spans="8:21" s="13" customFormat="1" x14ac:dyDescent="0.2">
      <c r="H167" s="66"/>
      <c r="I167" s="66"/>
      <c r="J167" s="66"/>
      <c r="K167" s="66"/>
      <c r="L167" s="66"/>
      <c r="M167" s="66"/>
      <c r="N167" s="66"/>
      <c r="O167" s="66"/>
      <c r="P167" s="66"/>
      <c r="Q167" s="66"/>
      <c r="R167" s="66"/>
      <c r="S167" s="66"/>
      <c r="T167" s="66"/>
      <c r="U167" s="66"/>
    </row>
    <row r="168" spans="8:21" s="13" customFormat="1" x14ac:dyDescent="0.2">
      <c r="H168" s="66"/>
      <c r="I168" s="66"/>
      <c r="J168" s="66"/>
      <c r="K168" s="66"/>
      <c r="L168" s="66"/>
      <c r="M168" s="66"/>
      <c r="N168" s="66"/>
      <c r="O168" s="66"/>
      <c r="P168" s="66"/>
      <c r="Q168" s="66"/>
      <c r="R168" s="66"/>
      <c r="S168" s="66"/>
      <c r="T168" s="66"/>
      <c r="U168" s="66"/>
    </row>
    <row r="169" spans="8:21" s="13" customFormat="1" x14ac:dyDescent="0.2">
      <c r="H169" s="66"/>
      <c r="I169" s="66"/>
      <c r="J169" s="66"/>
      <c r="K169" s="66"/>
      <c r="L169" s="66"/>
      <c r="M169" s="66"/>
      <c r="N169" s="66"/>
      <c r="O169" s="66"/>
      <c r="P169" s="66"/>
      <c r="Q169" s="66"/>
      <c r="R169" s="66"/>
      <c r="S169" s="66"/>
      <c r="T169" s="66"/>
      <c r="U169" s="66"/>
    </row>
    <row r="170" spans="8:21" s="13" customFormat="1" x14ac:dyDescent="0.2">
      <c r="H170" s="66"/>
      <c r="I170" s="66"/>
      <c r="J170" s="66"/>
      <c r="K170" s="66"/>
      <c r="L170" s="66"/>
      <c r="M170" s="66"/>
      <c r="N170" s="66"/>
      <c r="O170" s="66"/>
      <c r="P170" s="66"/>
      <c r="Q170" s="66"/>
      <c r="R170" s="66"/>
      <c r="S170" s="66"/>
      <c r="T170" s="66"/>
      <c r="U170" s="66"/>
    </row>
    <row r="171" spans="8:21" s="13" customFormat="1" ht="11.25" customHeight="1" x14ac:dyDescent="0.2">
      <c r="H171" s="66"/>
      <c r="I171" s="66"/>
      <c r="J171" s="66"/>
      <c r="K171" s="66"/>
      <c r="L171" s="66"/>
      <c r="M171" s="66"/>
      <c r="N171" s="66"/>
      <c r="O171" s="66"/>
      <c r="P171" s="66"/>
      <c r="Q171" s="66"/>
      <c r="R171" s="66"/>
      <c r="S171" s="66"/>
      <c r="T171" s="66"/>
      <c r="U171" s="66"/>
    </row>
    <row r="172" spans="8:21" s="13" customFormat="1" x14ac:dyDescent="0.2">
      <c r="H172" s="66"/>
      <c r="I172" s="66"/>
      <c r="J172" s="66"/>
      <c r="K172" s="66"/>
      <c r="L172" s="66"/>
      <c r="M172" s="66"/>
      <c r="N172" s="66"/>
      <c r="O172" s="66"/>
      <c r="P172" s="66"/>
      <c r="Q172" s="66"/>
      <c r="R172" s="66"/>
      <c r="S172" s="66"/>
      <c r="T172" s="66"/>
      <c r="U172" s="66"/>
    </row>
    <row r="173" spans="8:21" s="13" customFormat="1" x14ac:dyDescent="0.2">
      <c r="H173" s="66"/>
      <c r="I173" s="66"/>
      <c r="J173" s="66"/>
      <c r="K173" s="66"/>
      <c r="L173" s="66"/>
      <c r="M173" s="66"/>
      <c r="N173" s="66"/>
      <c r="O173" s="66"/>
      <c r="P173" s="66"/>
      <c r="Q173" s="66"/>
      <c r="R173" s="66"/>
      <c r="S173" s="66"/>
      <c r="T173" s="66"/>
      <c r="U173" s="66"/>
    </row>
    <row r="174" spans="8:21" s="13" customFormat="1" x14ac:dyDescent="0.2">
      <c r="H174" s="66"/>
      <c r="I174" s="66"/>
      <c r="J174" s="66"/>
      <c r="K174" s="66"/>
      <c r="L174" s="66"/>
      <c r="M174" s="66"/>
      <c r="N174" s="66"/>
      <c r="O174" s="66"/>
      <c r="P174" s="66"/>
      <c r="Q174" s="66"/>
      <c r="R174" s="66"/>
      <c r="S174" s="66"/>
      <c r="T174" s="66"/>
      <c r="U174" s="66"/>
    </row>
    <row r="175" spans="8:21" s="13" customFormat="1" x14ac:dyDescent="0.2">
      <c r="H175" s="66"/>
      <c r="I175" s="66"/>
      <c r="J175" s="66"/>
      <c r="K175" s="66"/>
      <c r="L175" s="66"/>
      <c r="M175" s="66"/>
      <c r="N175" s="66"/>
      <c r="O175" s="66"/>
      <c r="P175" s="66"/>
      <c r="Q175" s="66"/>
      <c r="R175" s="66"/>
      <c r="S175" s="66"/>
      <c r="T175" s="66"/>
      <c r="U175" s="66"/>
    </row>
  </sheetData>
  <sheetProtection algorithmName="SHA-512" hashValue="0YZdGaxKOMzgWw3FBDox1aazd/1OEm5Pi+4fJkuuNAz+gs5h3X1JP+42tOyhvBh+XYaytDCsgnsXZJoNL1v8jg==" saltValue="X52W2WXr5ruLwrD25LEdWQ==" spinCount="100000" sheet="1" objects="1" scenarios="1"/>
  <mergeCells count="29">
    <mergeCell ref="H29:U29"/>
    <mergeCell ref="B29:E29"/>
    <mergeCell ref="B32:E32"/>
    <mergeCell ref="H142:N142"/>
    <mergeCell ref="H28:U28"/>
    <mergeCell ref="H31:N31"/>
    <mergeCell ref="H32:U32"/>
    <mergeCell ref="H33:J33"/>
    <mergeCell ref="H34:U34"/>
    <mergeCell ref="H35:W35"/>
    <mergeCell ref="H40:T40"/>
    <mergeCell ref="H42:M42"/>
    <mergeCell ref="H54:U54"/>
    <mergeCell ref="H78:M78"/>
    <mergeCell ref="H139:M139"/>
    <mergeCell ref="P6:S6"/>
    <mergeCell ref="T6:W6"/>
    <mergeCell ref="H27:M27"/>
    <mergeCell ref="B6:C6"/>
    <mergeCell ref="D6:F6"/>
    <mergeCell ref="G6:K6"/>
    <mergeCell ref="L6:O6"/>
    <mergeCell ref="B9:E9"/>
    <mergeCell ref="B11:E12"/>
    <mergeCell ref="H23:I23"/>
    <mergeCell ref="H24:U24"/>
    <mergeCell ref="B14:E14"/>
    <mergeCell ref="B16:E17"/>
    <mergeCell ref="B19:E28"/>
  </mergeCells>
  <hyperlinks>
    <hyperlink ref="H25" r:id="rId1" xr:uid="{408784F7-98A3-44FE-8AE7-21F8B216BF7A}"/>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3">
    <tabColor rgb="FF6B2879"/>
  </sheetPr>
  <dimension ref="A1:T243"/>
  <sheetViews>
    <sheetView tabSelected="1" topLeftCell="C5" zoomScale="60" zoomScaleNormal="60" workbookViewId="0">
      <selection activeCell="N13" sqref="N13"/>
    </sheetView>
  </sheetViews>
  <sheetFormatPr defaultColWidth="9.140625" defaultRowHeight="15.75" x14ac:dyDescent="0.25"/>
  <cols>
    <col min="1" max="1" width="15.140625" style="189" customWidth="1"/>
    <col min="2" max="2" width="12.42578125" style="189" customWidth="1"/>
    <col min="3" max="3" width="10.42578125" style="189" customWidth="1"/>
    <col min="4" max="4" width="8.42578125" style="189" customWidth="1"/>
    <col min="5" max="5" width="8.140625" style="237" customWidth="1"/>
    <col min="6" max="6" width="10" style="237" customWidth="1"/>
    <col min="7" max="7" width="16.5703125" style="237" customWidth="1"/>
    <col min="8" max="8" width="8.85546875" style="237" customWidth="1"/>
    <col min="9" max="10" width="20.5703125" style="189" customWidth="1"/>
    <col min="11" max="11" width="20.5703125" style="240" customWidth="1"/>
    <col min="12" max="18" width="20.5703125" style="189" customWidth="1"/>
    <col min="19" max="16384" width="9.140625" style="189"/>
  </cols>
  <sheetData>
    <row r="1" spans="1:20" s="184" customFormat="1" ht="12.75" x14ac:dyDescent="0.2">
      <c r="A1" s="339" t="s">
        <v>0</v>
      </c>
    </row>
    <row r="2" spans="1:20" s="184" customFormat="1" ht="33.75" x14ac:dyDescent="0.5">
      <c r="G2" s="1" t="s">
        <v>1</v>
      </c>
    </row>
    <row r="3" spans="1:20" s="184" customFormat="1" ht="12.75" x14ac:dyDescent="0.2">
      <c r="G3" s="28" t="str">
        <f>'1. Introduktion'!G3</f>
        <v>Version 3.0</v>
      </c>
      <c r="H3" s="13"/>
      <c r="I3" s="13"/>
    </row>
    <row r="4" spans="1:20" s="184" customFormat="1" ht="12.75" x14ac:dyDescent="0.2">
      <c r="G4" s="28" t="str">
        <f>'1. Introduktion'!G4</f>
        <v>Datum: 2024-12-17</v>
      </c>
      <c r="H4" s="13"/>
      <c r="I4" s="28"/>
      <c r="J4" s="28"/>
      <c r="K4" s="241"/>
    </row>
    <row r="5" spans="1:20" s="184" customFormat="1" ht="12.75" x14ac:dyDescent="0.2"/>
    <row r="6" spans="1:20" s="3" customFormat="1" ht="41.25" customHeight="1" x14ac:dyDescent="0.35">
      <c r="C6" s="428"/>
      <c r="D6" s="428"/>
      <c r="E6" s="428"/>
      <c r="F6" s="428"/>
      <c r="G6" s="428"/>
      <c r="H6" s="429"/>
      <c r="I6" s="429"/>
      <c r="J6" s="9"/>
      <c r="K6" s="10"/>
      <c r="L6" s="10"/>
      <c r="M6" s="10"/>
      <c r="N6" s="10"/>
      <c r="O6" s="10"/>
      <c r="P6" s="10"/>
      <c r="Q6" s="10"/>
      <c r="R6" s="10"/>
    </row>
    <row r="7" spans="1:20" s="186" customFormat="1" ht="21" x14ac:dyDescent="0.35">
      <c r="C7" s="4"/>
      <c r="D7" s="4"/>
      <c r="E7" s="4"/>
      <c r="F7" s="4"/>
      <c r="G7" s="4"/>
      <c r="H7" s="187"/>
      <c r="I7" s="187"/>
      <c r="J7" s="4"/>
      <c r="K7" s="4"/>
      <c r="L7" s="4"/>
      <c r="M7" s="4"/>
      <c r="N7" s="4"/>
      <c r="O7" s="4"/>
      <c r="P7" s="4"/>
      <c r="Q7" s="4"/>
      <c r="R7" s="4"/>
    </row>
    <row r="8" spans="1:20" s="186" customFormat="1" ht="21" x14ac:dyDescent="0.35">
      <c r="B8" s="3"/>
      <c r="C8" s="70" t="s">
        <v>21</v>
      </c>
      <c r="D8" s="10"/>
      <c r="E8" s="10"/>
      <c r="F8" s="10"/>
      <c r="G8" s="10"/>
      <c r="H8" s="185"/>
      <c r="I8" s="185"/>
      <c r="J8" s="10"/>
      <c r="K8" s="10"/>
      <c r="L8" s="10"/>
      <c r="M8" s="10"/>
      <c r="N8" s="10"/>
      <c r="O8" s="10"/>
      <c r="P8" s="10"/>
      <c r="Q8" s="10"/>
      <c r="R8" s="10"/>
      <c r="S8" s="10"/>
      <c r="T8" s="10"/>
    </row>
    <row r="9" spans="1:20" ht="15.75" customHeight="1" x14ac:dyDescent="0.2">
      <c r="B9" s="138"/>
      <c r="C9" s="431"/>
      <c r="D9" s="431"/>
      <c r="E9" s="431"/>
      <c r="F9" s="431"/>
      <c r="G9" s="431"/>
      <c r="H9" s="431"/>
      <c r="I9" s="188"/>
      <c r="J9" s="138"/>
      <c r="K9" s="138"/>
      <c r="L9" s="138"/>
      <c r="M9" s="138"/>
      <c r="N9" s="138"/>
      <c r="O9" s="138"/>
      <c r="P9" s="138"/>
      <c r="Q9" s="138"/>
      <c r="R9" s="138"/>
      <c r="S9" s="138"/>
      <c r="T9" s="138"/>
    </row>
    <row r="10" spans="1:20" ht="21" x14ac:dyDescent="0.35">
      <c r="B10" s="138"/>
      <c r="C10" s="437" t="s">
        <v>22</v>
      </c>
      <c r="D10" s="437"/>
      <c r="E10" s="437"/>
      <c r="F10" s="437"/>
      <c r="G10" s="437"/>
      <c r="H10" s="437"/>
      <c r="I10" s="181"/>
      <c r="J10" s="138"/>
      <c r="K10" s="405" t="s">
        <v>23</v>
      </c>
      <c r="L10" s="406">
        <v>0</v>
      </c>
      <c r="M10" s="138"/>
      <c r="N10" s="138"/>
      <c r="O10" s="138"/>
      <c r="P10" s="138"/>
      <c r="Q10" s="138"/>
      <c r="R10" s="138"/>
      <c r="S10" s="138"/>
      <c r="T10" s="138"/>
    </row>
    <row r="11" spans="1:20" s="190" customFormat="1" x14ac:dyDescent="0.25">
      <c r="B11" s="138"/>
      <c r="C11" s="433" t="s">
        <v>24</v>
      </c>
      <c r="D11" s="433"/>
      <c r="E11" s="433"/>
      <c r="F11" s="434" t="s">
        <v>25</v>
      </c>
      <c r="G11" s="434"/>
      <c r="H11" s="434"/>
      <c r="I11" s="434"/>
      <c r="J11" s="138"/>
      <c r="K11" s="405" t="s">
        <v>26</v>
      </c>
      <c r="L11" s="406">
        <v>2500</v>
      </c>
      <c r="M11" s="138"/>
      <c r="N11" s="138"/>
      <c r="O11" s="138"/>
      <c r="P11" s="138"/>
      <c r="Q11" s="138"/>
      <c r="R11" s="138"/>
      <c r="S11" s="138"/>
      <c r="T11" s="138"/>
    </row>
    <row r="12" spans="1:20" s="190" customFormat="1" x14ac:dyDescent="0.25">
      <c r="B12" s="138"/>
      <c r="C12" s="433" t="s">
        <v>27</v>
      </c>
      <c r="D12" s="433"/>
      <c r="E12" s="433"/>
      <c r="F12" s="435" t="s">
        <v>28</v>
      </c>
      <c r="G12" s="435"/>
      <c r="H12" s="435"/>
      <c r="I12" s="435"/>
      <c r="J12" s="138"/>
      <c r="K12" s="405" t="s">
        <v>29</v>
      </c>
      <c r="L12" s="406">
        <v>2000</v>
      </c>
      <c r="M12" s="138"/>
      <c r="N12" s="138"/>
      <c r="O12" s="138"/>
      <c r="P12" s="138"/>
      <c r="Q12" s="138"/>
      <c r="R12" s="138"/>
      <c r="S12" s="138"/>
      <c r="T12" s="138"/>
    </row>
    <row r="13" spans="1:20" s="190" customFormat="1" x14ac:dyDescent="0.25">
      <c r="B13" s="138"/>
      <c r="C13" s="433" t="s">
        <v>30</v>
      </c>
      <c r="D13" s="433"/>
      <c r="E13" s="433"/>
      <c r="F13" s="434" t="s">
        <v>31</v>
      </c>
      <c r="G13" s="434"/>
      <c r="H13" s="434"/>
      <c r="I13" s="434"/>
      <c r="J13" s="138"/>
      <c r="K13" s="405" t="s">
        <v>32</v>
      </c>
      <c r="L13" s="406">
        <v>4000</v>
      </c>
      <c r="M13" s="138"/>
      <c r="N13" s="138"/>
      <c r="O13" s="138"/>
      <c r="P13" s="138"/>
      <c r="Q13" s="138"/>
      <c r="R13" s="138"/>
      <c r="S13" s="138"/>
      <c r="T13" s="138"/>
    </row>
    <row r="14" spans="1:20" ht="15" x14ac:dyDescent="0.25">
      <c r="B14" s="138"/>
      <c r="C14" s="432"/>
      <c r="D14" s="432"/>
      <c r="E14" s="432"/>
      <c r="F14" s="432"/>
      <c r="G14" s="432"/>
      <c r="H14" s="432"/>
      <c r="I14" s="188"/>
      <c r="J14" s="138"/>
      <c r="K14" s="405" t="s">
        <v>33</v>
      </c>
      <c r="L14" s="406">
        <v>5000</v>
      </c>
      <c r="M14" s="138"/>
      <c r="N14" s="138"/>
      <c r="O14" s="138"/>
      <c r="P14" s="138"/>
      <c r="Q14" s="138"/>
      <c r="R14" s="138"/>
      <c r="S14" s="138"/>
      <c r="T14" s="138"/>
    </row>
    <row r="15" spans="1:20" s="190" customFormat="1" x14ac:dyDescent="0.25">
      <c r="B15" s="116" t="s">
        <v>34</v>
      </c>
      <c r="C15" s="436" t="s">
        <v>35</v>
      </c>
      <c r="D15" s="436"/>
      <c r="E15" s="436"/>
      <c r="F15" s="436"/>
      <c r="G15" s="436"/>
      <c r="H15" s="7"/>
      <c r="I15" s="191" t="s">
        <v>36</v>
      </c>
      <c r="J15" s="138"/>
      <c r="K15" s="407"/>
      <c r="L15" s="407"/>
      <c r="M15" s="138"/>
      <c r="N15" s="138"/>
      <c r="O15" s="138"/>
      <c r="P15" s="138"/>
      <c r="Q15" s="138"/>
      <c r="R15" s="138"/>
      <c r="S15" s="138"/>
      <c r="T15" s="138"/>
    </row>
    <row r="16" spans="1:20" s="190" customFormat="1" x14ac:dyDescent="0.25">
      <c r="B16" s="116" t="s">
        <v>37</v>
      </c>
      <c r="C16" s="436" t="s">
        <v>38</v>
      </c>
      <c r="D16" s="436"/>
      <c r="E16" s="436"/>
      <c r="F16" s="436"/>
      <c r="G16" s="436"/>
      <c r="H16" s="60">
        <v>0.05</v>
      </c>
      <c r="I16" s="192"/>
      <c r="J16" s="138"/>
      <c r="K16" s="398" t="s">
        <v>39</v>
      </c>
      <c r="L16" s="397"/>
      <c r="M16" s="138"/>
      <c r="N16" s="138"/>
      <c r="O16" s="138"/>
      <c r="P16" s="138"/>
      <c r="Q16" s="138"/>
      <c r="R16" s="138"/>
      <c r="S16" s="138"/>
      <c r="T16" s="138"/>
    </row>
    <row r="17" spans="2:20" s="190" customFormat="1" x14ac:dyDescent="0.25">
      <c r="B17" s="116" t="s">
        <v>40</v>
      </c>
      <c r="C17" s="436" t="s">
        <v>41</v>
      </c>
      <c r="D17" s="436"/>
      <c r="E17" s="436"/>
      <c r="F17" s="436"/>
      <c r="G17" s="436"/>
      <c r="H17" s="11"/>
      <c r="I17" s="191" t="s">
        <v>42</v>
      </c>
      <c r="J17" s="138"/>
      <c r="K17" s="399" t="s">
        <v>23</v>
      </c>
      <c r="L17" s="400" t="s">
        <v>23</v>
      </c>
      <c r="M17" s="138"/>
      <c r="N17" s="138"/>
      <c r="O17" s="138"/>
      <c r="P17" s="138"/>
      <c r="Q17" s="138"/>
      <c r="R17" s="138"/>
      <c r="S17" s="138"/>
      <c r="T17" s="138"/>
    </row>
    <row r="18" spans="2:20" s="190" customFormat="1" x14ac:dyDescent="0.25">
      <c r="B18" s="116" t="s">
        <v>43</v>
      </c>
      <c r="C18" s="436" t="s">
        <v>44</v>
      </c>
      <c r="D18" s="436"/>
      <c r="E18" s="436"/>
      <c r="F18" s="436"/>
      <c r="G18" s="436"/>
      <c r="H18" s="8"/>
      <c r="I18" s="192"/>
      <c r="J18" s="138"/>
      <c r="K18" s="401" t="s">
        <v>45</v>
      </c>
      <c r="L18" s="400"/>
      <c r="M18" s="138"/>
      <c r="N18" s="138"/>
      <c r="O18" s="138"/>
      <c r="P18" s="138"/>
      <c r="Q18" s="138"/>
      <c r="R18" s="138"/>
      <c r="S18" s="138"/>
      <c r="T18" s="138"/>
    </row>
    <row r="19" spans="2:20" s="190" customFormat="1" x14ac:dyDescent="0.25">
      <c r="B19" s="116" t="s">
        <v>46</v>
      </c>
      <c r="C19" s="436" t="s">
        <v>47</v>
      </c>
      <c r="D19" s="436"/>
      <c r="E19" s="436"/>
      <c r="F19" s="436"/>
      <c r="G19" s="436"/>
      <c r="H19" s="11"/>
      <c r="I19" s="193" t="s">
        <v>48</v>
      </c>
      <c r="J19" s="138"/>
      <c r="K19" s="402" t="s">
        <v>49</v>
      </c>
      <c r="L19" s="403">
        <f>IF(ISBLANK($L$18),VLOOKUP($L$17,$K$10:$L$14,2),$L$18)</f>
        <v>0</v>
      </c>
      <c r="M19" s="138"/>
      <c r="N19" s="138"/>
      <c r="O19" s="138"/>
      <c r="P19" s="138"/>
      <c r="Q19" s="138"/>
      <c r="R19" s="138"/>
      <c r="S19" s="138"/>
      <c r="T19" s="138"/>
    </row>
    <row r="20" spans="2:20" s="190" customFormat="1" x14ac:dyDescent="0.25">
      <c r="B20" s="116" t="s">
        <v>50</v>
      </c>
      <c r="C20" s="436" t="s">
        <v>51</v>
      </c>
      <c r="D20" s="436"/>
      <c r="E20" s="436"/>
      <c r="F20" s="436"/>
      <c r="G20" s="436"/>
      <c r="H20" s="408">
        <f>$L$19</f>
        <v>0</v>
      </c>
      <c r="I20" s="193" t="s">
        <v>52</v>
      </c>
      <c r="J20" s="138"/>
      <c r="K20" s="113"/>
      <c r="L20" s="113"/>
      <c r="M20" s="138"/>
      <c r="N20" s="138"/>
      <c r="O20" s="138"/>
      <c r="P20" s="138"/>
      <c r="Q20" s="138"/>
      <c r="R20" s="138"/>
      <c r="S20" s="138"/>
      <c r="T20" s="138"/>
    </row>
    <row r="21" spans="2:20" s="190" customFormat="1" ht="15.75" customHeight="1" x14ac:dyDescent="0.25">
      <c r="B21" s="138"/>
      <c r="C21" s="430"/>
      <c r="D21" s="430"/>
      <c r="E21" s="430"/>
      <c r="F21" s="430"/>
      <c r="G21" s="430"/>
      <c r="H21" s="153"/>
      <c r="I21" s="194"/>
      <c r="J21" s="138"/>
      <c r="K21" s="138"/>
      <c r="L21" s="138"/>
      <c r="M21" s="138"/>
      <c r="N21" s="138"/>
      <c r="O21" s="138"/>
      <c r="P21" s="138"/>
      <c r="Q21" s="138"/>
      <c r="R21" s="138"/>
      <c r="S21" s="138"/>
      <c r="T21" s="138"/>
    </row>
    <row r="22" spans="2:20" s="190" customFormat="1" ht="28.5" customHeight="1" x14ac:dyDescent="0.35">
      <c r="B22" s="131"/>
      <c r="C22" s="195" t="s">
        <v>53</v>
      </c>
      <c r="D22" s="196"/>
      <c r="E22" s="196"/>
      <c r="F22" s="196"/>
      <c r="G22" s="131"/>
      <c r="H22" s="131"/>
      <c r="I22" s="131"/>
      <c r="J22" s="131"/>
      <c r="K22" s="131"/>
      <c r="L22" s="131"/>
      <c r="M22" s="131"/>
      <c r="N22" s="131"/>
      <c r="O22" s="131"/>
      <c r="P22" s="131"/>
      <c r="Q22" s="131"/>
      <c r="R22" s="131"/>
      <c r="S22" s="131"/>
      <c r="T22" s="131"/>
    </row>
    <row r="23" spans="2:20" s="190" customFormat="1" ht="16.5" customHeight="1" x14ac:dyDescent="0.25">
      <c r="B23" s="113"/>
      <c r="C23" s="114"/>
      <c r="D23" s="113"/>
      <c r="E23" s="113"/>
      <c r="F23" s="113"/>
      <c r="G23" s="113"/>
      <c r="H23" s="113"/>
      <c r="I23" s="113"/>
      <c r="J23" s="113"/>
      <c r="K23" s="113"/>
      <c r="L23" s="113"/>
      <c r="M23" s="113"/>
      <c r="N23" s="113"/>
      <c r="O23" s="113"/>
      <c r="P23" s="113"/>
      <c r="Q23" s="113"/>
      <c r="R23" s="113"/>
      <c r="S23" s="113"/>
      <c r="T23" s="113"/>
    </row>
    <row r="24" spans="2:20" s="190" customFormat="1" ht="16.5" customHeight="1" x14ac:dyDescent="0.25">
      <c r="B24" s="113"/>
      <c r="C24" s="438" t="s">
        <v>54</v>
      </c>
      <c r="D24" s="438"/>
      <c r="E24" s="438"/>
      <c r="F24" s="438"/>
      <c r="G24" s="438"/>
      <c r="H24" s="438"/>
      <c r="I24" s="113"/>
      <c r="J24" s="113"/>
      <c r="K24" s="113"/>
      <c r="L24" s="113"/>
      <c r="M24" s="113"/>
      <c r="N24" s="113"/>
      <c r="O24" s="113"/>
      <c r="P24" s="113"/>
      <c r="Q24" s="113"/>
      <c r="R24" s="113"/>
      <c r="S24" s="113"/>
      <c r="T24" s="113"/>
    </row>
    <row r="25" spans="2:20" s="190" customFormat="1" ht="33" customHeight="1" x14ac:dyDescent="0.25">
      <c r="B25" s="116"/>
      <c r="C25" s="117" t="s">
        <v>23</v>
      </c>
      <c r="D25" s="118"/>
      <c r="E25" s="118"/>
      <c r="F25" s="118"/>
      <c r="G25" s="119"/>
      <c r="H25" s="119"/>
      <c r="I25" s="242" t="s">
        <v>55</v>
      </c>
      <c r="J25" s="242" t="s">
        <v>56</v>
      </c>
      <c r="K25" s="242" t="s">
        <v>57</v>
      </c>
      <c r="L25" s="242" t="s">
        <v>58</v>
      </c>
      <c r="M25" s="242" t="s">
        <v>59</v>
      </c>
      <c r="N25" s="242" t="s">
        <v>60</v>
      </c>
      <c r="O25" s="242" t="s">
        <v>61</v>
      </c>
      <c r="P25" s="242" t="s">
        <v>62</v>
      </c>
      <c r="Q25" s="242" t="s">
        <v>63</v>
      </c>
      <c r="R25" s="242" t="s">
        <v>64</v>
      </c>
      <c r="S25" s="113"/>
      <c r="T25" s="113"/>
    </row>
    <row r="26" spans="2:20" s="190" customFormat="1" ht="16.5" hidden="1" customHeight="1" x14ac:dyDescent="0.25">
      <c r="B26" s="116"/>
      <c r="C26" s="117" t="s">
        <v>65</v>
      </c>
      <c r="D26" s="118"/>
      <c r="E26" s="118"/>
      <c r="F26" s="118"/>
      <c r="G26" s="119"/>
      <c r="H26" s="119"/>
      <c r="I26" s="71" t="str">
        <f>SUBSTITUTE(I25," ","_")</f>
        <v>Byggnadstyp_1</v>
      </c>
      <c r="J26" s="71" t="str">
        <f t="shared" ref="J26:R26" si="0">SUBSTITUTE(J25," ","_")</f>
        <v>Byggnadstyp_2</v>
      </c>
      <c r="K26" s="71" t="str">
        <f t="shared" si="0"/>
        <v>Byggnadstyp_3</v>
      </c>
      <c r="L26" s="71" t="str">
        <f t="shared" si="0"/>
        <v>Byggnadstyp_4</v>
      </c>
      <c r="M26" s="71" t="str">
        <f t="shared" si="0"/>
        <v>Byggnadstyp_5</v>
      </c>
      <c r="N26" s="71" t="str">
        <f t="shared" si="0"/>
        <v>Byggnadstyp_6</v>
      </c>
      <c r="O26" s="71" t="str">
        <f t="shared" si="0"/>
        <v>Byggnadstyp_7</v>
      </c>
      <c r="P26" s="71" t="str">
        <f t="shared" si="0"/>
        <v>Byggnadstyp_8</v>
      </c>
      <c r="Q26" s="71" t="str">
        <f t="shared" si="0"/>
        <v>Byggnadstyp_9</v>
      </c>
      <c r="R26" s="71" t="str">
        <f t="shared" si="0"/>
        <v>Byggnadstyp_10</v>
      </c>
      <c r="S26" s="113"/>
      <c r="T26" s="113"/>
    </row>
    <row r="27" spans="2:20" s="190" customFormat="1" ht="33" customHeight="1" x14ac:dyDescent="0.25">
      <c r="B27" s="116"/>
      <c r="C27" s="117" t="s">
        <v>66</v>
      </c>
      <c r="D27" s="118"/>
      <c r="E27" s="118"/>
      <c r="F27" s="118"/>
      <c r="G27" s="119"/>
      <c r="H27" s="119"/>
      <c r="I27" s="242" t="s">
        <v>67</v>
      </c>
      <c r="J27" s="242" t="s">
        <v>68</v>
      </c>
      <c r="K27" s="242" t="s">
        <v>69</v>
      </c>
      <c r="L27" s="242" t="s">
        <v>70</v>
      </c>
      <c r="M27" s="242" t="s">
        <v>71</v>
      </c>
      <c r="N27" s="242" t="s">
        <v>72</v>
      </c>
      <c r="O27" s="242" t="s">
        <v>73</v>
      </c>
      <c r="P27" s="242" t="s">
        <v>74</v>
      </c>
      <c r="Q27" s="242" t="s">
        <v>75</v>
      </c>
      <c r="R27" s="242" t="s">
        <v>76</v>
      </c>
      <c r="S27" s="113"/>
      <c r="T27" s="113"/>
    </row>
    <row r="28" spans="2:20" s="190" customFormat="1" ht="16.5" customHeight="1" x14ac:dyDescent="0.25">
      <c r="B28" s="116"/>
      <c r="C28" s="120" t="s">
        <v>77</v>
      </c>
      <c r="D28" s="121"/>
      <c r="E28" s="121"/>
      <c r="F28" s="121"/>
      <c r="G28" s="122"/>
      <c r="H28" s="122" t="s">
        <v>78</v>
      </c>
      <c r="I28" s="182"/>
      <c r="J28" s="182"/>
      <c r="K28" s="182"/>
      <c r="L28" s="182"/>
      <c r="M28" s="182"/>
      <c r="N28" s="182"/>
      <c r="O28" s="182"/>
      <c r="P28" s="182"/>
      <c r="Q28" s="182"/>
      <c r="R28" s="182"/>
      <c r="S28" s="113"/>
      <c r="T28" s="113"/>
    </row>
    <row r="29" spans="2:20" s="190" customFormat="1" ht="16.5" customHeight="1" x14ac:dyDescent="0.25">
      <c r="B29" s="116"/>
      <c r="C29" s="120" t="s">
        <v>79</v>
      </c>
      <c r="D29" s="121"/>
      <c r="E29" s="121"/>
      <c r="F29" s="121"/>
      <c r="G29" s="122"/>
      <c r="H29" s="122" t="s">
        <v>80</v>
      </c>
      <c r="I29" s="182"/>
      <c r="J29" s="182"/>
      <c r="K29" s="182"/>
      <c r="L29" s="182"/>
      <c r="M29" s="182"/>
      <c r="N29" s="182"/>
      <c r="O29" s="182"/>
      <c r="P29" s="182"/>
      <c r="Q29" s="182"/>
      <c r="R29" s="182"/>
      <c r="S29" s="113"/>
      <c r="T29" s="113"/>
    </row>
    <row r="30" spans="2:20" s="190" customFormat="1" ht="16.5" customHeight="1" x14ac:dyDescent="0.25">
      <c r="B30" s="116"/>
      <c r="C30" s="115" t="s">
        <v>81</v>
      </c>
      <c r="D30" s="123"/>
      <c r="E30" s="123"/>
      <c r="F30" s="123"/>
      <c r="G30" s="123"/>
      <c r="H30" s="123"/>
      <c r="I30" s="197"/>
      <c r="J30" s="197"/>
      <c r="K30" s="197"/>
      <c r="L30" s="197"/>
      <c r="M30" s="197"/>
      <c r="N30" s="197"/>
      <c r="O30" s="197"/>
      <c r="P30" s="197"/>
      <c r="Q30" s="197"/>
      <c r="R30" s="197"/>
      <c r="S30" s="113"/>
      <c r="T30" s="113"/>
    </row>
    <row r="31" spans="2:20" s="190" customFormat="1" ht="16.5" customHeight="1" x14ac:dyDescent="0.25">
      <c r="B31" s="116"/>
      <c r="C31" s="115" t="s">
        <v>82</v>
      </c>
      <c r="D31" s="123"/>
      <c r="E31" s="123"/>
      <c r="F31" s="123"/>
      <c r="G31" s="123"/>
      <c r="H31" s="123"/>
      <c r="I31" s="197"/>
      <c r="J31" s="197"/>
      <c r="K31" s="197"/>
      <c r="L31" s="197"/>
      <c r="M31" s="197"/>
      <c r="N31" s="197"/>
      <c r="O31" s="197"/>
      <c r="P31" s="197"/>
      <c r="Q31" s="197"/>
      <c r="R31" s="197"/>
      <c r="S31" s="113"/>
      <c r="T31" s="113"/>
    </row>
    <row r="32" spans="2:20" s="190" customFormat="1" ht="16.5" customHeight="1" x14ac:dyDescent="0.25">
      <c r="B32" s="116" t="s">
        <v>83</v>
      </c>
      <c r="C32" s="120" t="s">
        <v>84</v>
      </c>
      <c r="D32" s="121"/>
      <c r="E32" s="121"/>
      <c r="F32" s="121"/>
      <c r="G32" s="122"/>
      <c r="H32" s="122" t="s">
        <v>78</v>
      </c>
      <c r="I32" s="72"/>
      <c r="J32" s="72"/>
      <c r="K32" s="72"/>
      <c r="L32" s="72"/>
      <c r="M32" s="72"/>
      <c r="N32" s="72"/>
      <c r="O32" s="72"/>
      <c r="P32" s="72"/>
      <c r="Q32" s="72"/>
      <c r="R32" s="72"/>
      <c r="S32" s="113"/>
      <c r="T32" s="113"/>
    </row>
    <row r="33" spans="2:20" s="190" customFormat="1" ht="16.5" customHeight="1" x14ac:dyDescent="0.25">
      <c r="B33" s="116" t="s">
        <v>85</v>
      </c>
      <c r="C33" s="120" t="s">
        <v>86</v>
      </c>
      <c r="D33" s="121"/>
      <c r="E33" s="121"/>
      <c r="F33" s="121"/>
      <c r="G33" s="122"/>
      <c r="H33" s="122" t="s">
        <v>87</v>
      </c>
      <c r="I33" s="72"/>
      <c r="J33" s="72"/>
      <c r="K33" s="72"/>
      <c r="L33" s="72"/>
      <c r="M33" s="72"/>
      <c r="N33" s="72"/>
      <c r="O33" s="72"/>
      <c r="P33" s="72"/>
      <c r="Q33" s="72"/>
      <c r="R33" s="72"/>
      <c r="S33" s="113"/>
      <c r="T33" s="113"/>
    </row>
    <row r="34" spans="2:20" s="190" customFormat="1" ht="16.5" customHeight="1" x14ac:dyDescent="0.25">
      <c r="B34" s="116" t="s">
        <v>88</v>
      </c>
      <c r="C34" s="120" t="s">
        <v>89</v>
      </c>
      <c r="D34" s="121"/>
      <c r="E34" s="121"/>
      <c r="F34" s="121"/>
      <c r="G34" s="122"/>
      <c r="H34" s="122" t="s">
        <v>87</v>
      </c>
      <c r="I34" s="72"/>
      <c r="J34" s="72"/>
      <c r="K34" s="72"/>
      <c r="L34" s="72"/>
      <c r="M34" s="72"/>
      <c r="N34" s="72"/>
      <c r="O34" s="72"/>
      <c r="P34" s="72"/>
      <c r="Q34" s="72"/>
      <c r="R34" s="72"/>
      <c r="S34" s="113"/>
      <c r="T34" s="113"/>
    </row>
    <row r="35" spans="2:20" s="190" customFormat="1" ht="16.5" customHeight="1" x14ac:dyDescent="0.25">
      <c r="B35" s="116" t="s">
        <v>90</v>
      </c>
      <c r="C35" s="120" t="s">
        <v>91</v>
      </c>
      <c r="D35" s="121"/>
      <c r="E35" s="121"/>
      <c r="F35" s="121"/>
      <c r="G35" s="122"/>
      <c r="H35" s="122" t="s">
        <v>92</v>
      </c>
      <c r="I35" s="72"/>
      <c r="J35" s="72"/>
      <c r="K35" s="72"/>
      <c r="L35" s="72"/>
      <c r="M35" s="72"/>
      <c r="N35" s="72"/>
      <c r="O35" s="72"/>
      <c r="P35" s="72"/>
      <c r="Q35" s="72"/>
      <c r="R35" s="72"/>
      <c r="S35" s="113"/>
      <c r="T35" s="113"/>
    </row>
    <row r="36" spans="2:20" s="190" customFormat="1" ht="30" customHeight="1" x14ac:dyDescent="0.25">
      <c r="B36" s="116" t="s">
        <v>93</v>
      </c>
      <c r="C36" s="120" t="s">
        <v>94</v>
      </c>
      <c r="D36" s="121"/>
      <c r="E36" s="121"/>
      <c r="F36" s="121"/>
      <c r="G36" s="122"/>
      <c r="H36" s="122"/>
      <c r="I36" s="72" t="s">
        <v>95</v>
      </c>
      <c r="J36" s="72" t="s">
        <v>95</v>
      </c>
      <c r="K36" s="72" t="s">
        <v>95</v>
      </c>
      <c r="L36" s="72" t="s">
        <v>95</v>
      </c>
      <c r="M36" s="72" t="s">
        <v>95</v>
      </c>
      <c r="N36" s="72" t="s">
        <v>95</v>
      </c>
      <c r="O36" s="72" t="s">
        <v>95</v>
      </c>
      <c r="P36" s="72" t="s">
        <v>95</v>
      </c>
      <c r="Q36" s="72" t="s">
        <v>95</v>
      </c>
      <c r="R36" s="72" t="s">
        <v>95</v>
      </c>
      <c r="S36" s="113"/>
      <c r="T36" s="113"/>
    </row>
    <row r="37" spans="2:20" s="190" customFormat="1" ht="28.5" customHeight="1" x14ac:dyDescent="0.25">
      <c r="B37" s="116" t="s">
        <v>96</v>
      </c>
      <c r="C37" s="120" t="s">
        <v>97</v>
      </c>
      <c r="D37" s="121"/>
      <c r="E37" s="121"/>
      <c r="F37" s="121"/>
      <c r="G37" s="122"/>
      <c r="H37" s="122"/>
      <c r="I37" s="72" t="str" cm="1">
        <f t="array" ref="I37">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37" s="72" t="str" cm="1">
        <f t="array" ref="J37">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37" s="72" t="str" cm="1">
        <f t="array" ref="K37">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37" s="72" t="str" cm="1">
        <f t="array" ref="L37">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37" s="72" t="str" cm="1">
        <f t="array" ref="M37">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37" s="72" t="str" cm="1">
        <f t="array" ref="N37">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37" s="72" t="str" cm="1">
        <f t="array" ref="O37">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37" s="72" t="str" cm="1">
        <f t="array" ref="P37">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37" s="72" t="str" cm="1">
        <f t="array" ref="Q37">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37" s="72" t="str" cm="1">
        <f t="array" ref="R37">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37" s="113"/>
      <c r="T37" s="113"/>
    </row>
    <row r="38" spans="2:20" s="190" customFormat="1" ht="28.5" customHeight="1" x14ac:dyDescent="0.25">
      <c r="B38" s="116" t="s">
        <v>98</v>
      </c>
      <c r="C38" s="120" t="s">
        <v>99</v>
      </c>
      <c r="D38" s="121"/>
      <c r="E38" s="121"/>
      <c r="F38" s="121"/>
      <c r="G38" s="122"/>
      <c r="H38" s="122"/>
      <c r="I38" s="72" t="str" cm="1">
        <f t="array" ref="I38">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38" s="72" t="str" cm="1">
        <f t="array" ref="J38">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38" s="72" t="str" cm="1">
        <f t="array" ref="K38">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38" s="72" t="str" cm="1">
        <f t="array" ref="L38">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38" s="72" t="str" cm="1">
        <f t="array" ref="M38">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38" s="72" t="str" cm="1">
        <f t="array" ref="N38">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38" s="72" t="str" cm="1">
        <f t="array" ref="O38">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38" s="72" t="str" cm="1">
        <f t="array" ref="P38">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38" s="72" t="str" cm="1">
        <f t="array" ref="Q38">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38" s="72" t="str" cm="1">
        <f t="array" ref="R38">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38" s="113"/>
      <c r="T38" s="113"/>
    </row>
    <row r="39" spans="2:20" s="190" customFormat="1" ht="28.5" customHeight="1" x14ac:dyDescent="0.25">
      <c r="B39" s="116" t="s">
        <v>100</v>
      </c>
      <c r="C39" s="120" t="s">
        <v>101</v>
      </c>
      <c r="D39" s="121"/>
      <c r="E39" s="121"/>
      <c r="F39" s="121"/>
      <c r="G39" s="122"/>
      <c r="H39" s="122"/>
      <c r="I39" s="72" t="str" cm="1">
        <f t="array" ref="I39">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39" s="72" t="str" cm="1">
        <f t="array" ref="J39">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39" s="72" t="str" cm="1">
        <f t="array" ref="K39">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39" s="72" t="str" cm="1">
        <f t="array" ref="L39">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39" s="72" t="str" cm="1">
        <f t="array" ref="M39">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39" s="72" t="str" cm="1">
        <f t="array" ref="N39">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39" s="72" t="str" cm="1">
        <f t="array" ref="O39">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39" s="72" t="str" cm="1">
        <f t="array" ref="P39">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39" s="72" t="str" cm="1">
        <f t="array" ref="Q39">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39" s="72" t="str" cm="1">
        <f t="array" ref="R39">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39" s="113"/>
      <c r="T39" s="113"/>
    </row>
    <row r="40" spans="2:20" s="190" customFormat="1" ht="16.5" customHeight="1" x14ac:dyDescent="0.25">
      <c r="B40" s="116" t="s">
        <v>102</v>
      </c>
      <c r="C40" s="124" t="s">
        <v>103</v>
      </c>
      <c r="D40" s="121"/>
      <c r="E40" s="121"/>
      <c r="F40" s="121"/>
      <c r="G40" s="122"/>
      <c r="H40" s="122"/>
      <c r="I40" s="183">
        <f>IF(IF(I36=$I$238,I37,IF(I36=$I$239,I37*I38,IF(I36=$I$240,I37*I38*I39,1)))=0,"Fyll i 2.6-2.8",IF(I36=$I$238,I37,IF(I36=$I$239,I37*I38,IF(I36=$I$240,I37*I38*I39,1))))</f>
        <v>1</v>
      </c>
      <c r="J40" s="183">
        <f t="shared" ref="J40:R40" si="1">IF(IF(J36=$I$238,J37,IF(J36=$I$239,J37*J38,IF(J36=$I$240,J37*J38*J39,1)))=0,"Fyll i 2.6-2.8",IF(J36=$I$238,J37,IF(J36=$I$239,J37*J38,IF(J36=$I$240,J37*J38*J39,1))))</f>
        <v>1</v>
      </c>
      <c r="K40" s="183">
        <f t="shared" si="1"/>
        <v>1</v>
      </c>
      <c r="L40" s="183">
        <f t="shared" si="1"/>
        <v>1</v>
      </c>
      <c r="M40" s="183">
        <f t="shared" si="1"/>
        <v>1</v>
      </c>
      <c r="N40" s="183">
        <f t="shared" si="1"/>
        <v>1</v>
      </c>
      <c r="O40" s="183">
        <f t="shared" si="1"/>
        <v>1</v>
      </c>
      <c r="P40" s="183">
        <f t="shared" si="1"/>
        <v>1</v>
      </c>
      <c r="Q40" s="183">
        <f t="shared" si="1"/>
        <v>1</v>
      </c>
      <c r="R40" s="183">
        <f t="shared" si="1"/>
        <v>1</v>
      </c>
      <c r="S40" s="113"/>
      <c r="T40" s="113"/>
    </row>
    <row r="41" spans="2:20" s="190" customFormat="1" ht="16.5" customHeight="1" x14ac:dyDescent="0.25">
      <c r="B41" s="116" t="s">
        <v>104</v>
      </c>
      <c r="C41" s="120" t="s">
        <v>105</v>
      </c>
      <c r="D41" s="121"/>
      <c r="E41" s="121"/>
      <c r="F41" s="121"/>
      <c r="G41" s="122"/>
      <c r="H41" s="122" t="s">
        <v>106</v>
      </c>
      <c r="I41" s="72"/>
      <c r="J41" s="72"/>
      <c r="K41" s="72"/>
      <c r="L41" s="72"/>
      <c r="M41" s="72"/>
      <c r="N41" s="72"/>
      <c r="O41" s="72"/>
      <c r="P41" s="72"/>
      <c r="Q41" s="72"/>
      <c r="R41" s="72"/>
      <c r="S41" s="113"/>
      <c r="T41" s="113"/>
    </row>
    <row r="42" spans="2:20" s="190" customFormat="1" ht="16.5" customHeight="1" x14ac:dyDescent="0.25">
      <c r="B42" s="116"/>
      <c r="C42" s="123"/>
      <c r="D42" s="123"/>
      <c r="E42" s="123"/>
      <c r="F42" s="123"/>
      <c r="G42" s="123"/>
      <c r="H42" s="123"/>
      <c r="I42" s="197"/>
      <c r="J42" s="197"/>
      <c r="K42" s="197"/>
      <c r="L42" s="197"/>
      <c r="M42" s="197"/>
      <c r="N42" s="197"/>
      <c r="O42" s="197"/>
      <c r="P42" s="197"/>
      <c r="Q42" s="197"/>
      <c r="R42" s="197"/>
      <c r="S42" s="113"/>
      <c r="T42" s="113"/>
    </row>
    <row r="43" spans="2:20" s="190" customFormat="1" ht="16.5" customHeight="1" x14ac:dyDescent="0.25">
      <c r="B43" s="116"/>
      <c r="C43" s="115" t="s">
        <v>107</v>
      </c>
      <c r="D43" s="123"/>
      <c r="E43" s="123"/>
      <c r="F43" s="123"/>
      <c r="G43" s="123"/>
      <c r="H43" s="123"/>
      <c r="I43" s="197"/>
      <c r="J43" s="197"/>
      <c r="K43" s="197"/>
      <c r="L43" s="197"/>
      <c r="M43" s="197"/>
      <c r="N43" s="197"/>
      <c r="O43" s="197"/>
      <c r="P43" s="197"/>
      <c r="Q43" s="197"/>
      <c r="R43" s="197"/>
      <c r="S43" s="113"/>
      <c r="T43" s="113"/>
    </row>
    <row r="44" spans="2:20" s="190" customFormat="1" ht="16.5" customHeight="1" x14ac:dyDescent="0.25">
      <c r="B44" s="116" t="s">
        <v>83</v>
      </c>
      <c r="C44" s="120" t="s">
        <v>84</v>
      </c>
      <c r="D44" s="121"/>
      <c r="E44" s="121"/>
      <c r="F44" s="121"/>
      <c r="G44" s="122"/>
      <c r="H44" s="122" t="s">
        <v>78</v>
      </c>
      <c r="I44" s="72"/>
      <c r="J44" s="72"/>
      <c r="K44" s="72"/>
      <c r="L44" s="72"/>
      <c r="M44" s="72"/>
      <c r="N44" s="72"/>
      <c r="O44" s="72"/>
      <c r="P44" s="72"/>
      <c r="Q44" s="72"/>
      <c r="R44" s="72"/>
      <c r="S44" s="113"/>
      <c r="T44" s="113"/>
    </row>
    <row r="45" spans="2:20" s="190" customFormat="1" ht="16.5" customHeight="1" x14ac:dyDescent="0.25">
      <c r="B45" s="116" t="s">
        <v>85</v>
      </c>
      <c r="C45" s="120" t="s">
        <v>86</v>
      </c>
      <c r="D45" s="121"/>
      <c r="E45" s="121"/>
      <c r="F45" s="121"/>
      <c r="G45" s="122"/>
      <c r="H45" s="122" t="s">
        <v>87</v>
      </c>
      <c r="I45" s="72"/>
      <c r="J45" s="72"/>
      <c r="K45" s="72"/>
      <c r="L45" s="72"/>
      <c r="M45" s="72"/>
      <c r="N45" s="72"/>
      <c r="O45" s="72"/>
      <c r="P45" s="72"/>
      <c r="Q45" s="72"/>
      <c r="R45" s="72"/>
      <c r="S45" s="113"/>
      <c r="T45" s="113"/>
    </row>
    <row r="46" spans="2:20" s="190" customFormat="1" ht="16.5" customHeight="1" x14ac:dyDescent="0.25">
      <c r="B46" s="116" t="s">
        <v>88</v>
      </c>
      <c r="C46" s="120" t="s">
        <v>89</v>
      </c>
      <c r="D46" s="121"/>
      <c r="E46" s="121"/>
      <c r="F46" s="121"/>
      <c r="G46" s="122"/>
      <c r="H46" s="122" t="s">
        <v>87</v>
      </c>
      <c r="I46" s="72"/>
      <c r="J46" s="72"/>
      <c r="K46" s="72"/>
      <c r="L46" s="72"/>
      <c r="M46" s="72"/>
      <c r="N46" s="72"/>
      <c r="O46" s="72"/>
      <c r="P46" s="72"/>
      <c r="Q46" s="72"/>
      <c r="R46" s="72"/>
      <c r="S46" s="113"/>
      <c r="T46" s="113"/>
    </row>
    <row r="47" spans="2:20" s="190" customFormat="1" ht="16.5" customHeight="1" x14ac:dyDescent="0.25">
      <c r="B47" s="116" t="s">
        <v>90</v>
      </c>
      <c r="C47" s="120" t="s">
        <v>91</v>
      </c>
      <c r="D47" s="121"/>
      <c r="E47" s="121"/>
      <c r="F47" s="121"/>
      <c r="G47" s="122"/>
      <c r="H47" s="122" t="s">
        <v>92</v>
      </c>
      <c r="I47" s="72"/>
      <c r="J47" s="72"/>
      <c r="K47" s="72"/>
      <c r="L47" s="72"/>
      <c r="M47" s="72"/>
      <c r="N47" s="72"/>
      <c r="O47" s="72"/>
      <c r="P47" s="72"/>
      <c r="Q47" s="72"/>
      <c r="R47" s="72"/>
      <c r="S47" s="113"/>
      <c r="T47" s="113"/>
    </row>
    <row r="48" spans="2:20" s="190" customFormat="1" ht="30" customHeight="1" x14ac:dyDescent="0.25">
      <c r="B48" s="116" t="s">
        <v>93</v>
      </c>
      <c r="C48" s="120" t="s">
        <v>94</v>
      </c>
      <c r="D48" s="121"/>
      <c r="E48" s="121"/>
      <c r="F48" s="121"/>
      <c r="G48" s="122"/>
      <c r="H48" s="122"/>
      <c r="I48" s="72" t="s">
        <v>95</v>
      </c>
      <c r="J48" s="72" t="s">
        <v>95</v>
      </c>
      <c r="K48" s="72" t="s">
        <v>95</v>
      </c>
      <c r="L48" s="72" t="s">
        <v>95</v>
      </c>
      <c r="M48" s="72" t="s">
        <v>95</v>
      </c>
      <c r="N48" s="72" t="s">
        <v>95</v>
      </c>
      <c r="O48" s="72" t="s">
        <v>95</v>
      </c>
      <c r="P48" s="72" t="s">
        <v>95</v>
      </c>
      <c r="Q48" s="72" t="s">
        <v>95</v>
      </c>
      <c r="R48" s="72" t="s">
        <v>95</v>
      </c>
      <c r="S48" s="113"/>
      <c r="T48" s="113"/>
    </row>
    <row r="49" spans="2:20" s="190" customFormat="1" ht="24.75" x14ac:dyDescent="0.25">
      <c r="B49" s="116" t="s">
        <v>96</v>
      </c>
      <c r="C49" s="120" t="s">
        <v>97</v>
      </c>
      <c r="D49" s="121"/>
      <c r="E49" s="121"/>
      <c r="F49" s="121"/>
      <c r="G49" s="122"/>
      <c r="H49" s="122"/>
      <c r="I49" s="72" t="str" cm="1">
        <f t="array" ref="I49">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49" s="72" t="str" cm="1">
        <f t="array" ref="J49">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49" s="72" t="str" cm="1">
        <f t="array" ref="K49">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49" s="72" t="str" cm="1">
        <f t="array" ref="L49">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49" s="72" t="str" cm="1">
        <f t="array" ref="M49">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49" s="72" t="str" cm="1">
        <f t="array" ref="N49">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49" s="72" t="str" cm="1">
        <f t="array" ref="O49">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49" s="72" t="str" cm="1">
        <f t="array" ref="P49">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49" s="72" t="str" cm="1">
        <f t="array" ref="Q49">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49" s="72" t="str" cm="1">
        <f t="array" ref="R49">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49" s="113"/>
      <c r="T49" s="113"/>
    </row>
    <row r="50" spans="2:20" s="190" customFormat="1" ht="24.75" x14ac:dyDescent="0.25">
      <c r="B50" s="116" t="s">
        <v>98</v>
      </c>
      <c r="C50" s="120" t="s">
        <v>99</v>
      </c>
      <c r="D50" s="121"/>
      <c r="E50" s="121"/>
      <c r="F50" s="121"/>
      <c r="G50" s="122"/>
      <c r="H50" s="122"/>
      <c r="I50" s="72" t="str" cm="1">
        <f t="array" ref="I50">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50" s="72" t="str" cm="1">
        <f t="array" ref="J50">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50" s="72" t="str" cm="1">
        <f t="array" ref="K50">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50" s="72" t="str" cm="1">
        <f t="array" ref="L50">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50" s="72" t="str" cm="1">
        <f t="array" ref="M50">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50" s="72" t="str" cm="1">
        <f t="array" ref="N50">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50" s="72" t="str" cm="1">
        <f t="array" ref="O50">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50" s="72" t="str" cm="1">
        <f t="array" ref="P50">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50" s="72" t="str" cm="1">
        <f t="array" ref="Q50">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50" s="72" t="str" cm="1">
        <f t="array" ref="R50">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50" s="113"/>
      <c r="T50" s="113"/>
    </row>
    <row r="51" spans="2:20" s="190" customFormat="1" ht="24.75" x14ac:dyDescent="0.25">
      <c r="B51" s="116" t="s">
        <v>100</v>
      </c>
      <c r="C51" s="120" t="s">
        <v>101</v>
      </c>
      <c r="D51" s="121"/>
      <c r="E51" s="121"/>
      <c r="F51" s="121"/>
      <c r="G51" s="122"/>
      <c r="H51" s="122"/>
      <c r="I51" s="72" t="str" cm="1">
        <f t="array" ref="I51">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51" s="72" t="str" cm="1">
        <f t="array" ref="J51">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51" s="72" t="str" cm="1">
        <f t="array" ref="K51">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51" s="72" t="str" cm="1">
        <f t="array" ref="L51">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51" s="72" t="str" cm="1">
        <f t="array" ref="M51">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51" s="72" t="str" cm="1">
        <f t="array" ref="N51">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51" s="72" t="str" cm="1">
        <f t="array" ref="O51">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51" s="72" t="str" cm="1">
        <f t="array" ref="P51">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51" s="72" t="str" cm="1">
        <f t="array" ref="Q51">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51" s="72" t="str" cm="1">
        <f t="array" ref="R51">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51" s="113"/>
      <c r="T51" s="113"/>
    </row>
    <row r="52" spans="2:20" s="190" customFormat="1" ht="16.5" customHeight="1" x14ac:dyDescent="0.25">
      <c r="B52" s="116" t="s">
        <v>102</v>
      </c>
      <c r="C52" s="124" t="s">
        <v>103</v>
      </c>
      <c r="D52" s="121"/>
      <c r="E52" s="121"/>
      <c r="F52" s="121"/>
      <c r="G52" s="122"/>
      <c r="H52" s="122"/>
      <c r="I52" s="183">
        <f>IF(IF(I48=$I$238,I49,IF(I48=$I$239,I49*I50,IF(I48=$I$240,I49*I50*I51,1)))=0,"Fyll i 2.6-2.8",IF(I48=$I$238,I49,IF(I48=$I$239,I49*I50,IF(I48=$I$240,I49*I50*I51,1))))</f>
        <v>1</v>
      </c>
      <c r="J52" s="183">
        <f t="shared" ref="J52:R52" si="2">IF(IF(J48=$I$238,J49,IF(J48=$I$239,J49*J50,IF(J48=$I$240,J49*J50*J51,1)))=0,"Fyll i 2.6-2.8",IF(J48=$I$238,J49,IF(J48=$I$239,J49*J50,IF(J48=$I$240,J49*J50*J51,1))))</f>
        <v>1</v>
      </c>
      <c r="K52" s="183">
        <f t="shared" si="2"/>
        <v>1</v>
      </c>
      <c r="L52" s="183">
        <f t="shared" si="2"/>
        <v>1</v>
      </c>
      <c r="M52" s="183">
        <f t="shared" si="2"/>
        <v>1</v>
      </c>
      <c r="N52" s="183">
        <f t="shared" si="2"/>
        <v>1</v>
      </c>
      <c r="O52" s="183">
        <f t="shared" si="2"/>
        <v>1</v>
      </c>
      <c r="P52" s="183">
        <f t="shared" si="2"/>
        <v>1</v>
      </c>
      <c r="Q52" s="183">
        <f t="shared" si="2"/>
        <v>1</v>
      </c>
      <c r="R52" s="183">
        <f t="shared" si="2"/>
        <v>1</v>
      </c>
      <c r="S52" s="113"/>
      <c r="T52" s="113"/>
    </row>
    <row r="53" spans="2:20" s="190" customFormat="1" ht="16.5" customHeight="1" x14ac:dyDescent="0.25">
      <c r="B53" s="116" t="s">
        <v>104</v>
      </c>
      <c r="C53" s="120" t="s">
        <v>105</v>
      </c>
      <c r="D53" s="121"/>
      <c r="E53" s="121"/>
      <c r="F53" s="121"/>
      <c r="G53" s="122"/>
      <c r="H53" s="122" t="s">
        <v>106</v>
      </c>
      <c r="I53" s="72"/>
      <c r="J53" s="72"/>
      <c r="K53" s="72"/>
      <c r="L53" s="72"/>
      <c r="M53" s="72"/>
      <c r="N53" s="72"/>
      <c r="O53" s="72"/>
      <c r="P53" s="72"/>
      <c r="Q53" s="72"/>
      <c r="R53" s="72"/>
      <c r="S53" s="113"/>
      <c r="T53" s="113"/>
    </row>
    <row r="54" spans="2:20" s="190" customFormat="1" ht="16.5" customHeight="1" x14ac:dyDescent="0.25">
      <c r="B54" s="116"/>
      <c r="C54" s="123"/>
      <c r="D54" s="123"/>
      <c r="E54" s="123"/>
      <c r="F54" s="123"/>
      <c r="G54" s="123"/>
      <c r="H54" s="123"/>
      <c r="I54" s="197"/>
      <c r="J54" s="197"/>
      <c r="K54" s="197"/>
      <c r="L54" s="197"/>
      <c r="M54" s="197"/>
      <c r="N54" s="197"/>
      <c r="O54" s="197"/>
      <c r="P54" s="197"/>
      <c r="Q54" s="197"/>
      <c r="R54" s="197"/>
      <c r="S54" s="113"/>
      <c r="T54" s="113"/>
    </row>
    <row r="55" spans="2:20" s="190" customFormat="1" ht="16.5" customHeight="1" x14ac:dyDescent="0.25">
      <c r="B55" s="116"/>
      <c r="C55" s="115" t="s">
        <v>108</v>
      </c>
      <c r="D55" s="123"/>
      <c r="E55" s="123"/>
      <c r="F55" s="123"/>
      <c r="G55" s="123"/>
      <c r="H55" s="123"/>
      <c r="I55" s="197"/>
      <c r="J55" s="197"/>
      <c r="K55" s="197"/>
      <c r="L55" s="197"/>
      <c r="M55" s="197"/>
      <c r="N55" s="197"/>
      <c r="O55" s="197"/>
      <c r="P55" s="197"/>
      <c r="Q55" s="197"/>
      <c r="R55" s="197"/>
      <c r="S55" s="113"/>
      <c r="T55" s="113"/>
    </row>
    <row r="56" spans="2:20" s="190" customFormat="1" ht="16.5" customHeight="1" x14ac:dyDescent="0.25">
      <c r="B56" s="116" t="s">
        <v>83</v>
      </c>
      <c r="C56" s="120" t="s">
        <v>84</v>
      </c>
      <c r="D56" s="121"/>
      <c r="E56" s="121"/>
      <c r="F56" s="121"/>
      <c r="G56" s="122"/>
      <c r="H56" s="122" t="s">
        <v>78</v>
      </c>
      <c r="I56" s="72"/>
      <c r="J56" s="72"/>
      <c r="K56" s="72"/>
      <c r="L56" s="72"/>
      <c r="M56" s="72"/>
      <c r="N56" s="72"/>
      <c r="O56" s="72"/>
      <c r="P56" s="72"/>
      <c r="Q56" s="72"/>
      <c r="R56" s="72"/>
      <c r="S56" s="113"/>
      <c r="T56" s="113"/>
    </row>
    <row r="57" spans="2:20" s="190" customFormat="1" ht="16.5" customHeight="1" x14ac:dyDescent="0.25">
      <c r="B57" s="116" t="s">
        <v>85</v>
      </c>
      <c r="C57" s="120" t="s">
        <v>86</v>
      </c>
      <c r="D57" s="121"/>
      <c r="E57" s="121"/>
      <c r="F57" s="121"/>
      <c r="G57" s="122"/>
      <c r="H57" s="122" t="s">
        <v>87</v>
      </c>
      <c r="I57" s="72"/>
      <c r="J57" s="72"/>
      <c r="K57" s="72"/>
      <c r="L57" s="72"/>
      <c r="M57" s="72"/>
      <c r="N57" s="72"/>
      <c r="O57" s="72"/>
      <c r="P57" s="72"/>
      <c r="Q57" s="72"/>
      <c r="R57" s="72"/>
      <c r="S57" s="113"/>
      <c r="T57" s="113"/>
    </row>
    <row r="58" spans="2:20" s="190" customFormat="1" ht="16.5" customHeight="1" x14ac:dyDescent="0.25">
      <c r="B58" s="116" t="s">
        <v>88</v>
      </c>
      <c r="C58" s="120" t="s">
        <v>89</v>
      </c>
      <c r="D58" s="121"/>
      <c r="E58" s="121"/>
      <c r="F58" s="121"/>
      <c r="G58" s="122"/>
      <c r="H58" s="122" t="s">
        <v>87</v>
      </c>
      <c r="I58" s="72"/>
      <c r="J58" s="72"/>
      <c r="K58" s="72"/>
      <c r="L58" s="72"/>
      <c r="M58" s="72"/>
      <c r="N58" s="72"/>
      <c r="O58" s="72"/>
      <c r="P58" s="72"/>
      <c r="Q58" s="72"/>
      <c r="R58" s="72"/>
      <c r="S58" s="113"/>
      <c r="T58" s="113"/>
    </row>
    <row r="59" spans="2:20" s="190" customFormat="1" ht="16.5" customHeight="1" x14ac:dyDescent="0.25">
      <c r="B59" s="116" t="s">
        <v>90</v>
      </c>
      <c r="C59" s="120" t="s">
        <v>91</v>
      </c>
      <c r="D59" s="121"/>
      <c r="E59" s="121"/>
      <c r="F59" s="121"/>
      <c r="G59" s="122"/>
      <c r="H59" s="122" t="s">
        <v>92</v>
      </c>
      <c r="I59" s="72"/>
      <c r="J59" s="72"/>
      <c r="K59" s="72"/>
      <c r="L59" s="72"/>
      <c r="M59" s="72"/>
      <c r="N59" s="72"/>
      <c r="O59" s="72"/>
      <c r="P59" s="72"/>
      <c r="Q59" s="72"/>
      <c r="R59" s="72"/>
      <c r="S59" s="113"/>
      <c r="T59" s="113"/>
    </row>
    <row r="60" spans="2:20" s="190" customFormat="1" ht="30" customHeight="1" x14ac:dyDescent="0.25">
      <c r="B60" s="116" t="s">
        <v>93</v>
      </c>
      <c r="C60" s="120" t="s">
        <v>94</v>
      </c>
      <c r="D60" s="121"/>
      <c r="E60" s="121"/>
      <c r="F60" s="121"/>
      <c r="G60" s="122"/>
      <c r="H60" s="122"/>
      <c r="I60" s="72" t="s">
        <v>95</v>
      </c>
      <c r="J60" s="72" t="s">
        <v>95</v>
      </c>
      <c r="K60" s="72" t="s">
        <v>95</v>
      </c>
      <c r="L60" s="72" t="s">
        <v>95</v>
      </c>
      <c r="M60" s="72" t="s">
        <v>95</v>
      </c>
      <c r="N60" s="72" t="s">
        <v>95</v>
      </c>
      <c r="O60" s="72" t="s">
        <v>95</v>
      </c>
      <c r="P60" s="72" t="s">
        <v>95</v>
      </c>
      <c r="Q60" s="72" t="s">
        <v>95</v>
      </c>
      <c r="R60" s="72" t="s">
        <v>95</v>
      </c>
      <c r="S60" s="113"/>
      <c r="T60" s="113"/>
    </row>
    <row r="61" spans="2:20" s="190" customFormat="1" ht="24.75" x14ac:dyDescent="0.25">
      <c r="B61" s="116" t="s">
        <v>96</v>
      </c>
      <c r="C61" s="120" t="s">
        <v>97</v>
      </c>
      <c r="D61" s="121"/>
      <c r="E61" s="121"/>
      <c r="F61" s="121"/>
      <c r="G61" s="122"/>
      <c r="H61" s="122"/>
      <c r="I61" s="72" t="str" cm="1">
        <f t="array" ref="I61">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61" s="72" t="str" cm="1">
        <f t="array" ref="J61">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61" s="72" t="str" cm="1">
        <f t="array" ref="K61">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61" s="72" t="str" cm="1">
        <f t="array" ref="L61">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61" s="72" t="str" cm="1">
        <f t="array" ref="M61">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61" s="72" t="str" cm="1">
        <f t="array" ref="N61">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61" s="72" t="str" cm="1">
        <f t="array" ref="O61">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61" s="72" t="str" cm="1">
        <f t="array" ref="P61">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61" s="72" t="str" cm="1">
        <f t="array" ref="Q61">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61" s="72" t="str" cm="1">
        <f t="array" ref="R61">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61" s="113"/>
      <c r="T61" s="113"/>
    </row>
    <row r="62" spans="2:20" s="190" customFormat="1" ht="24.75" x14ac:dyDescent="0.25">
      <c r="B62" s="116" t="s">
        <v>98</v>
      </c>
      <c r="C62" s="120" t="s">
        <v>99</v>
      </c>
      <c r="D62" s="121"/>
      <c r="E62" s="121"/>
      <c r="F62" s="121"/>
      <c r="G62" s="122"/>
      <c r="H62" s="122"/>
      <c r="I62" s="72" t="str" cm="1">
        <f t="array" ref="I62">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62" s="72" t="str" cm="1">
        <f t="array" ref="J62">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62" s="72" t="str" cm="1">
        <f t="array" ref="K62">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62" s="72" t="str" cm="1">
        <f t="array" ref="L62">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62" s="72" t="str" cm="1">
        <f t="array" ref="M62">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62" s="72" t="str" cm="1">
        <f t="array" ref="N62">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62" s="72" t="str" cm="1">
        <f t="array" ref="O62">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62" s="72" t="str" cm="1">
        <f t="array" ref="P62">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62" s="72" t="str" cm="1">
        <f t="array" ref="Q62">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62" s="72" t="str" cm="1">
        <f t="array" ref="R62">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62" s="113"/>
      <c r="T62" s="113"/>
    </row>
    <row r="63" spans="2:20" s="190" customFormat="1" ht="24.75" x14ac:dyDescent="0.25">
      <c r="B63" s="116" t="s">
        <v>100</v>
      </c>
      <c r="C63" s="120" t="s">
        <v>101</v>
      </c>
      <c r="D63" s="121"/>
      <c r="E63" s="121"/>
      <c r="F63" s="121"/>
      <c r="G63" s="122"/>
      <c r="H63" s="122"/>
      <c r="I63" s="72" t="str" cm="1">
        <f t="array" ref="I63">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63" s="72" t="str" cm="1">
        <f t="array" ref="J63">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63" s="72" t="str" cm="1">
        <f t="array" ref="K63">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63" s="72" t="str" cm="1">
        <f t="array" ref="L63">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63" s="72" t="str" cm="1">
        <f t="array" ref="M63">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63" s="72" t="str" cm="1">
        <f t="array" ref="N63">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63" s="72" t="str" cm="1">
        <f t="array" ref="O63">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63" s="72" t="str" cm="1">
        <f t="array" ref="P63">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63" s="72" t="str" cm="1">
        <f t="array" ref="Q63">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63" s="72" t="str" cm="1">
        <f t="array" ref="R63">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63" s="113"/>
      <c r="T63" s="113"/>
    </row>
    <row r="64" spans="2:20" s="190" customFormat="1" ht="16.5" customHeight="1" x14ac:dyDescent="0.25">
      <c r="B64" s="116" t="s">
        <v>102</v>
      </c>
      <c r="C64" s="124" t="s">
        <v>103</v>
      </c>
      <c r="D64" s="121"/>
      <c r="E64" s="121"/>
      <c r="F64" s="121"/>
      <c r="G64" s="122"/>
      <c r="H64" s="122"/>
      <c r="I64" s="183">
        <f>IF(IF(I60=$I$238,I61,IF(I60=$I$239,I61*I62,IF(I60=$I$240,I61*I62*I63,1)))=0,"Fyll i 2.6-2.8",IF(I60=$I$238,I61,IF(I60=$I$239,I61*I62,IF(I60=$I$240,I61*I62*I63,1))))</f>
        <v>1</v>
      </c>
      <c r="J64" s="183">
        <f t="shared" ref="J64:R64" si="3">IF(IF(J60=$I$238,J61,IF(J60=$I$239,J61*J62,IF(J60=$I$240,J61*J62*J63,1)))=0,"Fyll i 2.6-2.8",IF(J60=$I$238,J61,IF(J60=$I$239,J61*J62,IF(J60=$I$240,J61*J62*J63,1))))</f>
        <v>1</v>
      </c>
      <c r="K64" s="183">
        <f t="shared" si="3"/>
        <v>1</v>
      </c>
      <c r="L64" s="183">
        <f t="shared" si="3"/>
        <v>1</v>
      </c>
      <c r="M64" s="183">
        <f t="shared" si="3"/>
        <v>1</v>
      </c>
      <c r="N64" s="183">
        <f t="shared" si="3"/>
        <v>1</v>
      </c>
      <c r="O64" s="183">
        <f t="shared" si="3"/>
        <v>1</v>
      </c>
      <c r="P64" s="183">
        <f t="shared" si="3"/>
        <v>1</v>
      </c>
      <c r="Q64" s="183">
        <f t="shared" si="3"/>
        <v>1</v>
      </c>
      <c r="R64" s="183">
        <f t="shared" si="3"/>
        <v>1</v>
      </c>
      <c r="S64" s="113"/>
      <c r="T64" s="113"/>
    </row>
    <row r="65" spans="2:20" s="190" customFormat="1" ht="16.5" customHeight="1" x14ac:dyDescent="0.25">
      <c r="B65" s="116" t="s">
        <v>104</v>
      </c>
      <c r="C65" s="120" t="s">
        <v>105</v>
      </c>
      <c r="D65" s="121"/>
      <c r="E65" s="121"/>
      <c r="F65" s="121"/>
      <c r="G65" s="122"/>
      <c r="H65" s="122" t="s">
        <v>106</v>
      </c>
      <c r="I65" s="72"/>
      <c r="J65" s="72"/>
      <c r="K65" s="72"/>
      <c r="L65" s="72"/>
      <c r="M65" s="72"/>
      <c r="N65" s="72"/>
      <c r="O65" s="72"/>
      <c r="P65" s="72"/>
      <c r="Q65" s="72"/>
      <c r="R65" s="72"/>
      <c r="S65" s="113"/>
      <c r="T65" s="113"/>
    </row>
    <row r="66" spans="2:20" s="190" customFormat="1" ht="16.5" customHeight="1" x14ac:dyDescent="0.25">
      <c r="B66" s="116"/>
      <c r="C66" s="123"/>
      <c r="D66" s="123"/>
      <c r="E66" s="123"/>
      <c r="F66" s="123"/>
      <c r="G66" s="123"/>
      <c r="H66" s="123"/>
      <c r="I66" s="197"/>
      <c r="J66" s="197"/>
      <c r="K66" s="197"/>
      <c r="L66" s="197"/>
      <c r="M66" s="197"/>
      <c r="N66" s="197"/>
      <c r="O66" s="197"/>
      <c r="P66" s="197"/>
      <c r="Q66" s="197"/>
      <c r="R66" s="197"/>
      <c r="S66" s="113"/>
      <c r="T66" s="113"/>
    </row>
    <row r="67" spans="2:20" s="190" customFormat="1" ht="16.5" customHeight="1" x14ac:dyDescent="0.25">
      <c r="B67" s="116"/>
      <c r="C67" s="115" t="s">
        <v>109</v>
      </c>
      <c r="D67" s="123"/>
      <c r="E67" s="123"/>
      <c r="F67" s="123"/>
      <c r="G67" s="123"/>
      <c r="H67" s="123"/>
      <c r="I67" s="197"/>
      <c r="J67" s="197"/>
      <c r="K67" s="197"/>
      <c r="L67" s="197"/>
      <c r="M67" s="197"/>
      <c r="N67" s="197"/>
      <c r="O67" s="197"/>
      <c r="P67" s="197"/>
      <c r="Q67" s="197"/>
      <c r="R67" s="197"/>
      <c r="S67" s="113"/>
      <c r="T67" s="113"/>
    </row>
    <row r="68" spans="2:20" s="190" customFormat="1" ht="16.5" customHeight="1" x14ac:dyDescent="0.25">
      <c r="B68" s="116" t="s">
        <v>83</v>
      </c>
      <c r="C68" s="120" t="s">
        <v>84</v>
      </c>
      <c r="D68" s="121"/>
      <c r="E68" s="121"/>
      <c r="F68" s="121"/>
      <c r="G68" s="122"/>
      <c r="H68" s="122" t="s">
        <v>78</v>
      </c>
      <c r="I68" s="72"/>
      <c r="J68" s="72"/>
      <c r="K68" s="72"/>
      <c r="L68" s="72"/>
      <c r="M68" s="72"/>
      <c r="N68" s="72"/>
      <c r="O68" s="72"/>
      <c r="P68" s="72"/>
      <c r="Q68" s="72"/>
      <c r="R68" s="72"/>
      <c r="S68" s="113"/>
      <c r="T68" s="113"/>
    </row>
    <row r="69" spans="2:20" s="190" customFormat="1" ht="16.5" customHeight="1" x14ac:dyDescent="0.25">
      <c r="B69" s="116" t="s">
        <v>85</v>
      </c>
      <c r="C69" s="120" t="s">
        <v>86</v>
      </c>
      <c r="D69" s="121"/>
      <c r="E69" s="121"/>
      <c r="F69" s="121"/>
      <c r="G69" s="122"/>
      <c r="H69" s="122" t="s">
        <v>87</v>
      </c>
      <c r="I69" s="72"/>
      <c r="J69" s="72"/>
      <c r="K69" s="72"/>
      <c r="L69" s="72"/>
      <c r="M69" s="72"/>
      <c r="N69" s="72"/>
      <c r="O69" s="72"/>
      <c r="P69" s="72"/>
      <c r="Q69" s="72"/>
      <c r="R69" s="72"/>
      <c r="S69" s="113"/>
      <c r="T69" s="113"/>
    </row>
    <row r="70" spans="2:20" s="190" customFormat="1" ht="16.5" customHeight="1" x14ac:dyDescent="0.25">
      <c r="B70" s="116" t="s">
        <v>88</v>
      </c>
      <c r="C70" s="120" t="s">
        <v>89</v>
      </c>
      <c r="D70" s="121"/>
      <c r="E70" s="121"/>
      <c r="F70" s="121"/>
      <c r="G70" s="122"/>
      <c r="H70" s="122" t="s">
        <v>87</v>
      </c>
      <c r="I70" s="72"/>
      <c r="J70" s="72"/>
      <c r="K70" s="72"/>
      <c r="L70" s="72"/>
      <c r="M70" s="72"/>
      <c r="N70" s="72"/>
      <c r="O70" s="72"/>
      <c r="P70" s="72"/>
      <c r="Q70" s="72"/>
      <c r="R70" s="72"/>
      <c r="S70" s="113"/>
      <c r="T70" s="113"/>
    </row>
    <row r="71" spans="2:20" s="190" customFormat="1" ht="16.5" customHeight="1" x14ac:dyDescent="0.25">
      <c r="B71" s="116" t="s">
        <v>90</v>
      </c>
      <c r="C71" s="120" t="s">
        <v>91</v>
      </c>
      <c r="D71" s="121"/>
      <c r="E71" s="121"/>
      <c r="F71" s="121"/>
      <c r="G71" s="122"/>
      <c r="H71" s="122" t="s">
        <v>92</v>
      </c>
      <c r="I71" s="72"/>
      <c r="J71" s="72"/>
      <c r="K71" s="72"/>
      <c r="L71" s="72"/>
      <c r="M71" s="72"/>
      <c r="N71" s="72"/>
      <c r="O71" s="72"/>
      <c r="P71" s="72"/>
      <c r="Q71" s="72"/>
      <c r="R71" s="72"/>
      <c r="S71" s="113"/>
      <c r="T71" s="113"/>
    </row>
    <row r="72" spans="2:20" s="190" customFormat="1" ht="30" customHeight="1" x14ac:dyDescent="0.25">
      <c r="B72" s="116" t="s">
        <v>93</v>
      </c>
      <c r="C72" s="120" t="s">
        <v>94</v>
      </c>
      <c r="D72" s="121"/>
      <c r="E72" s="121"/>
      <c r="F72" s="121"/>
      <c r="G72" s="122"/>
      <c r="H72" s="122"/>
      <c r="I72" s="72" t="s">
        <v>95</v>
      </c>
      <c r="J72" s="72" t="s">
        <v>95</v>
      </c>
      <c r="K72" s="72" t="s">
        <v>95</v>
      </c>
      <c r="L72" s="72" t="s">
        <v>95</v>
      </c>
      <c r="M72" s="72" t="s">
        <v>95</v>
      </c>
      <c r="N72" s="72" t="s">
        <v>95</v>
      </c>
      <c r="O72" s="72" t="s">
        <v>95</v>
      </c>
      <c r="P72" s="72" t="s">
        <v>95</v>
      </c>
      <c r="Q72" s="72" t="s">
        <v>95</v>
      </c>
      <c r="R72" s="72" t="s">
        <v>95</v>
      </c>
      <c r="S72" s="113"/>
      <c r="T72" s="113"/>
    </row>
    <row r="73" spans="2:20" s="190" customFormat="1" ht="24.75" x14ac:dyDescent="0.25">
      <c r="B73" s="116" t="s">
        <v>96</v>
      </c>
      <c r="C73" s="120" t="s">
        <v>97</v>
      </c>
      <c r="D73" s="121"/>
      <c r="E73" s="121"/>
      <c r="F73" s="121"/>
      <c r="G73" s="122"/>
      <c r="H73" s="122"/>
      <c r="I73" s="72" t="str" cm="1">
        <f t="array" ref="I73">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73" s="72" t="str" cm="1">
        <f t="array" ref="J73">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73" s="72" t="str" cm="1">
        <f t="array" ref="K73">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73" s="72" t="str" cm="1">
        <f t="array" ref="L73">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73" s="72" t="str" cm="1">
        <f t="array" ref="M73">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73" s="72" t="str" cm="1">
        <f t="array" ref="N73">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73" s="72" t="str" cm="1">
        <f t="array" ref="O73">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73" s="72" t="str" cm="1">
        <f t="array" ref="P73">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73" s="72" t="str" cm="1">
        <f t="array" ref="Q73">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73" s="72" t="str" cm="1">
        <f t="array" ref="R73">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73" s="113"/>
      <c r="T73" s="113"/>
    </row>
    <row r="74" spans="2:20" s="190" customFormat="1" ht="24.75" x14ac:dyDescent="0.25">
      <c r="B74" s="116" t="s">
        <v>98</v>
      </c>
      <c r="C74" s="120" t="s">
        <v>99</v>
      </c>
      <c r="D74" s="121"/>
      <c r="E74" s="121"/>
      <c r="F74" s="121"/>
      <c r="G74" s="122"/>
      <c r="H74" s="122"/>
      <c r="I74" s="72" t="str" cm="1">
        <f t="array" ref="I74">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74" s="72" t="str" cm="1">
        <f t="array" ref="J74">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74" s="72" t="str" cm="1">
        <f t="array" ref="K74">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74" s="72" t="str" cm="1">
        <f t="array" ref="L74">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74" s="72" t="str" cm="1">
        <f t="array" ref="M74">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74" s="72" t="str" cm="1">
        <f t="array" ref="N74">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74" s="72" t="str" cm="1">
        <f t="array" ref="O74">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74" s="72" t="str" cm="1">
        <f t="array" ref="P74">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74" s="72" t="str" cm="1">
        <f t="array" ref="Q74">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74" s="72" t="str" cm="1">
        <f t="array" ref="R74">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74" s="113"/>
      <c r="T74" s="113"/>
    </row>
    <row r="75" spans="2:20" s="190" customFormat="1" ht="24.75" x14ac:dyDescent="0.25">
      <c r="B75" s="116" t="s">
        <v>100</v>
      </c>
      <c r="C75" s="120" t="s">
        <v>101</v>
      </c>
      <c r="D75" s="121"/>
      <c r="E75" s="121"/>
      <c r="F75" s="121"/>
      <c r="G75" s="122"/>
      <c r="H75" s="122"/>
      <c r="I75" s="72" t="str" cm="1">
        <f t="array" ref="I75">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75" s="72" t="str" cm="1">
        <f t="array" ref="J75">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75" s="72" t="str" cm="1">
        <f t="array" ref="K75">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75" s="72" t="str" cm="1">
        <f t="array" ref="L75">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75" s="72" t="str" cm="1">
        <f t="array" ref="M75">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75" s="72" t="str" cm="1">
        <f t="array" ref="N75">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75" s="72" t="str" cm="1">
        <f t="array" ref="O75">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75" s="72" t="str" cm="1">
        <f t="array" ref="P75">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75" s="72" t="str" cm="1">
        <f t="array" ref="Q75">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75" s="72" t="str" cm="1">
        <f t="array" ref="R75">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75" s="113"/>
      <c r="T75" s="113"/>
    </row>
    <row r="76" spans="2:20" s="190" customFormat="1" ht="16.5" customHeight="1" x14ac:dyDescent="0.25">
      <c r="B76" s="116" t="s">
        <v>102</v>
      </c>
      <c r="C76" s="124" t="s">
        <v>103</v>
      </c>
      <c r="D76" s="121"/>
      <c r="E76" s="121"/>
      <c r="F76" s="121"/>
      <c r="G76" s="122"/>
      <c r="H76" s="122"/>
      <c r="I76" s="183">
        <f>IF(IF(I72=$I$238,I73,IF(I72=$I$239,I73*I74,IF(I72=$I$240,I73*I74*I75,1)))=0,"Fyll i 2.6-2.8",IF(I72=$I$238,I73,IF(I72=$I$239,I73*I74,IF(I72=$I$240,I73*I74*I75,1))))</f>
        <v>1</v>
      </c>
      <c r="J76" s="183">
        <f t="shared" ref="J76:R76" si="4">IF(IF(J72=$I$238,J73,IF(J72=$I$239,J73*J74,IF(J72=$I$240,J73*J74*J75,1)))=0,"Fyll i 2.6-2.8",IF(J72=$I$238,J73,IF(J72=$I$239,J73*J74,IF(J72=$I$240,J73*J74*J75,1))))</f>
        <v>1</v>
      </c>
      <c r="K76" s="183">
        <f t="shared" si="4"/>
        <v>1</v>
      </c>
      <c r="L76" s="183">
        <f t="shared" si="4"/>
        <v>1</v>
      </c>
      <c r="M76" s="183">
        <f t="shared" si="4"/>
        <v>1</v>
      </c>
      <c r="N76" s="183">
        <f t="shared" si="4"/>
        <v>1</v>
      </c>
      <c r="O76" s="183">
        <f t="shared" si="4"/>
        <v>1</v>
      </c>
      <c r="P76" s="183">
        <f t="shared" si="4"/>
        <v>1</v>
      </c>
      <c r="Q76" s="183">
        <f t="shared" si="4"/>
        <v>1</v>
      </c>
      <c r="R76" s="183">
        <f t="shared" si="4"/>
        <v>1</v>
      </c>
      <c r="S76" s="113"/>
      <c r="T76" s="113"/>
    </row>
    <row r="77" spans="2:20" s="190" customFormat="1" ht="16.5" customHeight="1" x14ac:dyDescent="0.25">
      <c r="B77" s="116" t="s">
        <v>104</v>
      </c>
      <c r="C77" s="120" t="s">
        <v>105</v>
      </c>
      <c r="D77" s="121"/>
      <c r="E77" s="121"/>
      <c r="F77" s="121"/>
      <c r="G77" s="122"/>
      <c r="H77" s="122" t="s">
        <v>106</v>
      </c>
      <c r="I77" s="72"/>
      <c r="J77" s="72"/>
      <c r="K77" s="72"/>
      <c r="L77" s="72"/>
      <c r="M77" s="72"/>
      <c r="N77" s="72"/>
      <c r="O77" s="72"/>
      <c r="P77" s="72"/>
      <c r="Q77" s="72"/>
      <c r="R77" s="72"/>
      <c r="S77" s="113"/>
      <c r="T77" s="113"/>
    </row>
    <row r="78" spans="2:20" s="190" customFormat="1" ht="16.5" customHeight="1" x14ac:dyDescent="0.25">
      <c r="B78" s="116"/>
      <c r="C78" s="123"/>
      <c r="D78" s="123"/>
      <c r="E78" s="123"/>
      <c r="F78" s="123"/>
      <c r="G78" s="123"/>
      <c r="H78" s="123"/>
      <c r="I78" s="197"/>
      <c r="J78" s="197"/>
      <c r="K78" s="197"/>
      <c r="L78" s="197"/>
      <c r="M78" s="197"/>
      <c r="N78" s="197"/>
      <c r="O78" s="197"/>
      <c r="P78" s="197"/>
      <c r="Q78" s="197"/>
      <c r="R78" s="197"/>
      <c r="S78" s="113"/>
      <c r="T78" s="113"/>
    </row>
    <row r="79" spans="2:20" s="190" customFormat="1" ht="16.5" customHeight="1" x14ac:dyDescent="0.25">
      <c r="B79" s="116"/>
      <c r="C79" s="115" t="s">
        <v>110</v>
      </c>
      <c r="D79" s="123"/>
      <c r="E79" s="123"/>
      <c r="F79" s="123"/>
      <c r="G79" s="123"/>
      <c r="H79" s="123"/>
      <c r="I79" s="197"/>
      <c r="J79" s="197"/>
      <c r="K79" s="197"/>
      <c r="L79" s="197"/>
      <c r="M79" s="197"/>
      <c r="N79" s="197"/>
      <c r="O79" s="197"/>
      <c r="P79" s="197"/>
      <c r="Q79" s="197"/>
      <c r="R79" s="197"/>
      <c r="S79" s="113"/>
      <c r="T79" s="113"/>
    </row>
    <row r="80" spans="2:20" s="190" customFormat="1" ht="16.5" customHeight="1" x14ac:dyDescent="0.25">
      <c r="B80" s="116" t="s">
        <v>83</v>
      </c>
      <c r="C80" s="120" t="s">
        <v>84</v>
      </c>
      <c r="D80" s="121"/>
      <c r="E80" s="121"/>
      <c r="F80" s="121"/>
      <c r="G80" s="122"/>
      <c r="H80" s="122" t="s">
        <v>78</v>
      </c>
      <c r="I80" s="72"/>
      <c r="J80" s="72"/>
      <c r="K80" s="72"/>
      <c r="L80" s="72"/>
      <c r="M80" s="72"/>
      <c r="N80" s="72"/>
      <c r="O80" s="72"/>
      <c r="P80" s="72"/>
      <c r="Q80" s="72"/>
      <c r="R80" s="72"/>
      <c r="S80" s="113"/>
      <c r="T80" s="113"/>
    </row>
    <row r="81" spans="2:20" s="190" customFormat="1" ht="16.5" customHeight="1" x14ac:dyDescent="0.25">
      <c r="B81" s="116" t="s">
        <v>85</v>
      </c>
      <c r="C81" s="120" t="s">
        <v>86</v>
      </c>
      <c r="D81" s="121"/>
      <c r="E81" s="121"/>
      <c r="F81" s="121"/>
      <c r="G81" s="122"/>
      <c r="H81" s="122" t="s">
        <v>87</v>
      </c>
      <c r="I81" s="72"/>
      <c r="J81" s="72"/>
      <c r="K81" s="72"/>
      <c r="L81" s="72"/>
      <c r="M81" s="72"/>
      <c r="N81" s="72"/>
      <c r="O81" s="72"/>
      <c r="P81" s="72"/>
      <c r="Q81" s="72"/>
      <c r="R81" s="72"/>
      <c r="S81" s="113"/>
      <c r="T81" s="113"/>
    </row>
    <row r="82" spans="2:20" s="190" customFormat="1" ht="16.5" customHeight="1" x14ac:dyDescent="0.25">
      <c r="B82" s="116" t="s">
        <v>88</v>
      </c>
      <c r="C82" s="120" t="s">
        <v>89</v>
      </c>
      <c r="D82" s="121"/>
      <c r="E82" s="121"/>
      <c r="F82" s="121"/>
      <c r="G82" s="122"/>
      <c r="H82" s="122" t="s">
        <v>87</v>
      </c>
      <c r="I82" s="72"/>
      <c r="J82" s="72"/>
      <c r="K82" s="72"/>
      <c r="L82" s="72"/>
      <c r="M82" s="72"/>
      <c r="N82" s="72"/>
      <c r="O82" s="72"/>
      <c r="P82" s="72"/>
      <c r="Q82" s="72"/>
      <c r="R82" s="72"/>
      <c r="S82" s="113"/>
      <c r="T82" s="113"/>
    </row>
    <row r="83" spans="2:20" s="190" customFormat="1" ht="16.5" customHeight="1" x14ac:dyDescent="0.25">
      <c r="B83" s="116" t="s">
        <v>90</v>
      </c>
      <c r="C83" s="120" t="s">
        <v>91</v>
      </c>
      <c r="D83" s="121"/>
      <c r="E83" s="121"/>
      <c r="F83" s="121"/>
      <c r="G83" s="122"/>
      <c r="H83" s="122" t="s">
        <v>92</v>
      </c>
      <c r="I83" s="72"/>
      <c r="J83" s="72"/>
      <c r="K83" s="72"/>
      <c r="L83" s="72"/>
      <c r="M83" s="72"/>
      <c r="N83" s="72"/>
      <c r="O83" s="72"/>
      <c r="P83" s="72"/>
      <c r="Q83" s="72"/>
      <c r="R83" s="72"/>
      <c r="S83" s="113"/>
      <c r="T83" s="113"/>
    </row>
    <row r="84" spans="2:20" s="198" customFormat="1" ht="30" customHeight="1" x14ac:dyDescent="0.25">
      <c r="B84" s="125" t="s">
        <v>93</v>
      </c>
      <c r="C84" s="120" t="s">
        <v>94</v>
      </c>
      <c r="D84" s="126"/>
      <c r="E84" s="126"/>
      <c r="F84" s="126"/>
      <c r="G84" s="127"/>
      <c r="H84" s="127"/>
      <c r="I84" s="72" t="s">
        <v>95</v>
      </c>
      <c r="J84" s="72" t="s">
        <v>95</v>
      </c>
      <c r="K84" s="72" t="s">
        <v>95</v>
      </c>
      <c r="L84" s="72" t="s">
        <v>95</v>
      </c>
      <c r="M84" s="72" t="s">
        <v>95</v>
      </c>
      <c r="N84" s="72" t="s">
        <v>95</v>
      </c>
      <c r="O84" s="72" t="s">
        <v>95</v>
      </c>
      <c r="P84" s="72" t="s">
        <v>95</v>
      </c>
      <c r="Q84" s="72" t="s">
        <v>95</v>
      </c>
      <c r="R84" s="72" t="s">
        <v>95</v>
      </c>
      <c r="S84" s="113"/>
      <c r="T84" s="113"/>
    </row>
    <row r="85" spans="2:20" s="190" customFormat="1" ht="24.75" x14ac:dyDescent="0.25">
      <c r="B85" s="116" t="s">
        <v>96</v>
      </c>
      <c r="C85" s="120" t="s">
        <v>97</v>
      </c>
      <c r="D85" s="121"/>
      <c r="E85" s="121"/>
      <c r="F85" s="121"/>
      <c r="G85" s="122"/>
      <c r="H85" s="122"/>
      <c r="I85" s="72" t="str" cm="1">
        <f t="array" ref="I85">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85" s="72" t="str" cm="1">
        <f t="array" ref="J85">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85" s="72" t="str" cm="1">
        <f t="array" ref="K85">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85" s="72" t="str" cm="1">
        <f t="array" ref="L85">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85" s="72" t="str" cm="1">
        <f t="array" ref="M85">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85" s="72" t="str" cm="1">
        <f t="array" ref="N85">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85" s="72" t="str" cm="1">
        <f t="array" ref="O85">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85" s="72" t="str" cm="1">
        <f t="array" ref="P85">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85" s="72" t="str" cm="1">
        <f t="array" ref="Q85">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85" s="72" t="str" cm="1">
        <f t="array" ref="R85">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85" s="113"/>
      <c r="T85" s="113"/>
    </row>
    <row r="86" spans="2:20" s="190" customFormat="1" ht="24.75" x14ac:dyDescent="0.25">
      <c r="B86" s="116" t="s">
        <v>98</v>
      </c>
      <c r="C86" s="120" t="s">
        <v>99</v>
      </c>
      <c r="D86" s="121"/>
      <c r="E86" s="121"/>
      <c r="F86" s="121"/>
      <c r="G86" s="122"/>
      <c r="H86" s="122"/>
      <c r="I86" s="72" t="str" cm="1">
        <f t="array" ref="I86">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86" s="72" t="str" cm="1">
        <f t="array" ref="J86">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86" s="72" t="str" cm="1">
        <f t="array" ref="K86">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86" s="72" t="str" cm="1">
        <f t="array" ref="L86">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86" s="72" t="str" cm="1">
        <f t="array" ref="M86">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86" s="72" t="str" cm="1">
        <f t="array" ref="N86">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86" s="72" t="str" cm="1">
        <f t="array" ref="O86">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86" s="72" t="str" cm="1">
        <f t="array" ref="P86">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86" s="72" t="str" cm="1">
        <f t="array" ref="Q86">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86" s="72" t="str" cm="1">
        <f t="array" ref="R86">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86" s="113"/>
      <c r="T86" s="113"/>
    </row>
    <row r="87" spans="2:20" s="190" customFormat="1" ht="24.75" x14ac:dyDescent="0.25">
      <c r="B87" s="116" t="s">
        <v>100</v>
      </c>
      <c r="C87" s="120" t="s">
        <v>101</v>
      </c>
      <c r="D87" s="121"/>
      <c r="E87" s="121"/>
      <c r="F87" s="121"/>
      <c r="G87" s="122"/>
      <c r="H87" s="122"/>
      <c r="I87" s="72" t="str" cm="1">
        <f t="array" ref="I87">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87" s="72" t="str" cm="1">
        <f t="array" ref="J87">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87" s="72" t="str" cm="1">
        <f t="array" ref="K87">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87" s="72" t="str" cm="1">
        <f t="array" ref="L87">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87" s="72" t="str" cm="1">
        <f t="array" ref="M87">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87" s="72" t="str" cm="1">
        <f t="array" ref="N87">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87" s="72" t="str" cm="1">
        <f t="array" ref="O87">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87" s="72" t="str" cm="1">
        <f t="array" ref="P87">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87" s="72" t="str" cm="1">
        <f t="array" ref="Q87">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87" s="72" t="str" cm="1">
        <f t="array" ref="R87">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87" s="113"/>
      <c r="T87" s="113"/>
    </row>
    <row r="88" spans="2:20" s="190" customFormat="1" ht="16.5" customHeight="1" x14ac:dyDescent="0.25">
      <c r="B88" s="116" t="s">
        <v>102</v>
      </c>
      <c r="C88" s="124" t="s">
        <v>103</v>
      </c>
      <c r="D88" s="121"/>
      <c r="E88" s="121"/>
      <c r="F88" s="121"/>
      <c r="G88" s="122"/>
      <c r="H88" s="122"/>
      <c r="I88" s="183">
        <f>IF(IF(I84=$I$238,I85,IF(I84=$I$239,I85*I86,IF(I84=$I$240,I85*I86*I87,1)))=0,"Fyll i 2.6-2.8",IF(I84=$I$238,I85,IF(I84=$I$239,I85*I86,IF(I84=$I$240,I85*I86*I87,1))))</f>
        <v>1</v>
      </c>
      <c r="J88" s="183">
        <f t="shared" ref="J88:R88" si="5">IF(IF(J84=$I$238,J85,IF(J84=$I$239,J85*J86,IF(J84=$I$240,J85*J86*J87,1)))=0,"Fyll i 2.6-2.8",IF(J84=$I$238,J85,IF(J84=$I$239,J85*J86,IF(J84=$I$240,J85*J86*J87,1))))</f>
        <v>1</v>
      </c>
      <c r="K88" s="183">
        <f t="shared" si="5"/>
        <v>1</v>
      </c>
      <c r="L88" s="183">
        <f t="shared" si="5"/>
        <v>1</v>
      </c>
      <c r="M88" s="183">
        <f t="shared" si="5"/>
        <v>1</v>
      </c>
      <c r="N88" s="183">
        <f t="shared" si="5"/>
        <v>1</v>
      </c>
      <c r="O88" s="183">
        <f t="shared" si="5"/>
        <v>1</v>
      </c>
      <c r="P88" s="183">
        <f t="shared" si="5"/>
        <v>1</v>
      </c>
      <c r="Q88" s="183">
        <f t="shared" si="5"/>
        <v>1</v>
      </c>
      <c r="R88" s="183">
        <f t="shared" si="5"/>
        <v>1</v>
      </c>
      <c r="S88" s="113"/>
      <c r="T88" s="113"/>
    </row>
    <row r="89" spans="2:20" s="190" customFormat="1" ht="16.5" customHeight="1" x14ac:dyDescent="0.25">
      <c r="B89" s="116" t="s">
        <v>104</v>
      </c>
      <c r="C89" s="120" t="s">
        <v>105</v>
      </c>
      <c r="D89" s="121"/>
      <c r="E89" s="121"/>
      <c r="F89" s="121"/>
      <c r="G89" s="122"/>
      <c r="H89" s="122" t="s">
        <v>106</v>
      </c>
      <c r="I89" s="72"/>
      <c r="J89" s="72"/>
      <c r="K89" s="72"/>
      <c r="L89" s="72"/>
      <c r="M89" s="72"/>
      <c r="N89" s="72"/>
      <c r="O89" s="72"/>
      <c r="P89" s="72"/>
      <c r="Q89" s="72"/>
      <c r="R89" s="72"/>
      <c r="S89" s="113"/>
      <c r="T89" s="113"/>
    </row>
    <row r="90" spans="2:20" s="190" customFormat="1" ht="16.5" customHeight="1" x14ac:dyDescent="0.25">
      <c r="B90" s="116"/>
      <c r="C90" s="123"/>
      <c r="D90" s="123"/>
      <c r="E90" s="123"/>
      <c r="F90" s="123"/>
      <c r="G90" s="123"/>
      <c r="H90" s="123"/>
      <c r="I90" s="197"/>
      <c r="J90" s="197"/>
      <c r="K90" s="197"/>
      <c r="L90" s="197"/>
      <c r="M90" s="197"/>
      <c r="N90" s="197"/>
      <c r="O90" s="197"/>
      <c r="P90" s="197"/>
      <c r="Q90" s="197"/>
      <c r="R90" s="197"/>
      <c r="S90" s="113"/>
      <c r="T90" s="113"/>
    </row>
    <row r="91" spans="2:20" s="190" customFormat="1" ht="16.5" customHeight="1" x14ac:dyDescent="0.25">
      <c r="B91" s="116"/>
      <c r="C91" s="115" t="s">
        <v>111</v>
      </c>
      <c r="D91" s="123"/>
      <c r="E91" s="123"/>
      <c r="F91" s="123"/>
      <c r="G91" s="123"/>
      <c r="H91" s="123"/>
      <c r="I91" s="197"/>
      <c r="J91" s="197"/>
      <c r="K91" s="197"/>
      <c r="L91" s="197"/>
      <c r="M91" s="197"/>
      <c r="N91" s="197"/>
      <c r="O91" s="197"/>
      <c r="P91" s="197"/>
      <c r="Q91" s="197"/>
      <c r="R91" s="197"/>
      <c r="S91" s="113"/>
      <c r="T91" s="113"/>
    </row>
    <row r="92" spans="2:20" s="190" customFormat="1" ht="16.5" customHeight="1" x14ac:dyDescent="0.25">
      <c r="B92" s="116" t="s">
        <v>83</v>
      </c>
      <c r="C92" s="120" t="s">
        <v>84</v>
      </c>
      <c r="D92" s="121"/>
      <c r="E92" s="121"/>
      <c r="F92" s="121"/>
      <c r="G92" s="122"/>
      <c r="H92" s="122" t="s">
        <v>78</v>
      </c>
      <c r="I92" s="72"/>
      <c r="J92" s="72"/>
      <c r="K92" s="72"/>
      <c r="L92" s="72"/>
      <c r="M92" s="72"/>
      <c r="N92" s="72"/>
      <c r="O92" s="72"/>
      <c r="P92" s="72"/>
      <c r="Q92" s="72"/>
      <c r="R92" s="72"/>
      <c r="S92" s="113"/>
      <c r="T92" s="113"/>
    </row>
    <row r="93" spans="2:20" s="190" customFormat="1" ht="16.5" customHeight="1" x14ac:dyDescent="0.25">
      <c r="B93" s="116" t="s">
        <v>85</v>
      </c>
      <c r="C93" s="120" t="s">
        <v>86</v>
      </c>
      <c r="D93" s="121"/>
      <c r="E93" s="121"/>
      <c r="F93" s="121"/>
      <c r="G93" s="122"/>
      <c r="H93" s="122" t="s">
        <v>87</v>
      </c>
      <c r="I93" s="72"/>
      <c r="J93" s="72"/>
      <c r="K93" s="72"/>
      <c r="L93" s="72"/>
      <c r="M93" s="72"/>
      <c r="N93" s="72"/>
      <c r="O93" s="72"/>
      <c r="P93" s="72"/>
      <c r="Q93" s="72"/>
      <c r="R93" s="72"/>
      <c r="S93" s="113"/>
      <c r="T93" s="113"/>
    </row>
    <row r="94" spans="2:20" s="190" customFormat="1" ht="16.5" customHeight="1" x14ac:dyDescent="0.25">
      <c r="B94" s="116" t="s">
        <v>88</v>
      </c>
      <c r="C94" s="120" t="s">
        <v>89</v>
      </c>
      <c r="D94" s="121"/>
      <c r="E94" s="121"/>
      <c r="F94" s="121"/>
      <c r="G94" s="122"/>
      <c r="H94" s="122" t="s">
        <v>87</v>
      </c>
      <c r="I94" s="72"/>
      <c r="J94" s="72"/>
      <c r="K94" s="72"/>
      <c r="L94" s="72"/>
      <c r="M94" s="72"/>
      <c r="N94" s="72"/>
      <c r="O94" s="72"/>
      <c r="P94" s="72"/>
      <c r="Q94" s="72"/>
      <c r="R94" s="72"/>
      <c r="S94" s="113"/>
      <c r="T94" s="113"/>
    </row>
    <row r="95" spans="2:20" s="190" customFormat="1" ht="16.5" customHeight="1" x14ac:dyDescent="0.25">
      <c r="B95" s="116" t="s">
        <v>90</v>
      </c>
      <c r="C95" s="120" t="s">
        <v>91</v>
      </c>
      <c r="D95" s="121"/>
      <c r="E95" s="121"/>
      <c r="F95" s="121"/>
      <c r="G95" s="122"/>
      <c r="H95" s="122" t="s">
        <v>92</v>
      </c>
      <c r="I95" s="72"/>
      <c r="J95" s="72"/>
      <c r="K95" s="72"/>
      <c r="L95" s="72"/>
      <c r="M95" s="72"/>
      <c r="N95" s="72"/>
      <c r="O95" s="72"/>
      <c r="P95" s="72"/>
      <c r="Q95" s="72"/>
      <c r="R95" s="72"/>
      <c r="S95" s="113"/>
      <c r="T95" s="113"/>
    </row>
    <row r="96" spans="2:20" s="198" customFormat="1" ht="30" customHeight="1" x14ac:dyDescent="0.25">
      <c r="B96" s="125" t="s">
        <v>93</v>
      </c>
      <c r="C96" s="120" t="s">
        <v>94</v>
      </c>
      <c r="D96" s="126"/>
      <c r="E96" s="126"/>
      <c r="F96" s="126"/>
      <c r="G96" s="127"/>
      <c r="H96" s="127"/>
      <c r="I96" s="72" t="s">
        <v>95</v>
      </c>
      <c r="J96" s="72" t="s">
        <v>95</v>
      </c>
      <c r="K96" s="72" t="s">
        <v>95</v>
      </c>
      <c r="L96" s="72" t="s">
        <v>95</v>
      </c>
      <c r="M96" s="72" t="s">
        <v>95</v>
      </c>
      <c r="N96" s="72" t="s">
        <v>95</v>
      </c>
      <c r="O96" s="72" t="s">
        <v>95</v>
      </c>
      <c r="P96" s="72" t="s">
        <v>95</v>
      </c>
      <c r="Q96" s="72" t="s">
        <v>95</v>
      </c>
      <c r="R96" s="72" t="s">
        <v>95</v>
      </c>
      <c r="S96" s="113"/>
      <c r="T96" s="113"/>
    </row>
    <row r="97" spans="2:20" s="190" customFormat="1" ht="24.75" x14ac:dyDescent="0.25">
      <c r="B97" s="116" t="s">
        <v>96</v>
      </c>
      <c r="C97" s="120" t="s">
        <v>97</v>
      </c>
      <c r="D97" s="121"/>
      <c r="E97" s="121"/>
      <c r="F97" s="121"/>
      <c r="G97" s="122"/>
      <c r="H97" s="122"/>
      <c r="I97" s="72" t="str" cm="1">
        <f t="array" ref="I97">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97" s="72" t="str" cm="1">
        <f t="array" ref="J97">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97" s="72" t="str" cm="1">
        <f t="array" ref="K97">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97" s="72" t="str" cm="1">
        <f t="array" ref="L97">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97" s="72" t="str" cm="1">
        <f t="array" ref="M97">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97" s="72" t="str" cm="1">
        <f t="array" ref="N97">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97" s="72" t="str" cm="1">
        <f t="array" ref="O97">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97" s="72" t="str" cm="1">
        <f t="array" ref="P97">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97" s="72" t="str" cm="1">
        <f t="array" ref="Q97">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97" s="72" t="str" cm="1">
        <f t="array" ref="R97">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97" s="113"/>
      <c r="T97" s="113"/>
    </row>
    <row r="98" spans="2:20" s="190" customFormat="1" ht="24.75" x14ac:dyDescent="0.25">
      <c r="B98" s="116" t="s">
        <v>98</v>
      </c>
      <c r="C98" s="120" t="s">
        <v>99</v>
      </c>
      <c r="D98" s="121"/>
      <c r="E98" s="121"/>
      <c r="F98" s="121"/>
      <c r="G98" s="122"/>
      <c r="H98" s="122"/>
      <c r="I98" s="72" t="str" cm="1">
        <f t="array" ref="I98">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98" s="72" t="str" cm="1">
        <f t="array" ref="J98">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98" s="72" t="str" cm="1">
        <f t="array" ref="K98">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98" s="72" t="str" cm="1">
        <f t="array" ref="L98">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98" s="72" t="str" cm="1">
        <f t="array" ref="M98">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98" s="72" t="str" cm="1">
        <f t="array" ref="N98">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98" s="72" t="str" cm="1">
        <f t="array" ref="O98">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98" s="72" t="str" cm="1">
        <f t="array" ref="P98">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98" s="72" t="str" cm="1">
        <f t="array" ref="Q98">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98" s="72" t="str" cm="1">
        <f t="array" ref="R98">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98" s="113"/>
      <c r="T98" s="113"/>
    </row>
    <row r="99" spans="2:20" s="190" customFormat="1" ht="24.75" x14ac:dyDescent="0.25">
      <c r="B99" s="116" t="s">
        <v>100</v>
      </c>
      <c r="C99" s="120" t="s">
        <v>101</v>
      </c>
      <c r="D99" s="121"/>
      <c r="E99" s="121"/>
      <c r="F99" s="121"/>
      <c r="G99" s="122"/>
      <c r="H99" s="122"/>
      <c r="I99" s="72" t="str" cm="1">
        <f t="array" ref="I99">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99" s="72" t="str" cm="1">
        <f t="array" ref="J99">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99" s="72" t="str" cm="1">
        <f t="array" ref="K99">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99" s="72" t="str" cm="1">
        <f t="array" ref="L99">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99" s="72" t="str" cm="1">
        <f t="array" ref="M99">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99" s="72" t="str" cm="1">
        <f t="array" ref="N99">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99" s="72" t="str" cm="1">
        <f t="array" ref="O99">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99" s="72" t="str" cm="1">
        <f t="array" ref="P99">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99" s="72" t="str" cm="1">
        <f t="array" ref="Q99">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99" s="72" t="str" cm="1">
        <f t="array" ref="R99">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99" s="113"/>
      <c r="T99" s="113"/>
    </row>
    <row r="100" spans="2:20" s="190" customFormat="1" ht="16.5" customHeight="1" x14ac:dyDescent="0.25">
      <c r="B100" s="116" t="s">
        <v>102</v>
      </c>
      <c r="C100" s="124" t="s">
        <v>103</v>
      </c>
      <c r="D100" s="121"/>
      <c r="E100" s="121"/>
      <c r="F100" s="121"/>
      <c r="G100" s="122"/>
      <c r="H100" s="122"/>
      <c r="I100" s="183">
        <f>IF(IF(I96=$I$238,I97,IF(I96=$I$239,I97*I98,IF(I96=$I$240,I97*I98*I99,1)))=0,"Fyll i 2.6-2.8",IF(I96=$I$238,I97,IF(I96=$I$239,I97*I98,IF(I96=$I$240,I97*I98*I99,1))))</f>
        <v>1</v>
      </c>
      <c r="J100" s="183">
        <f t="shared" ref="J100:R100" si="6">IF(IF(J96=$I$238,J97,IF(J96=$I$239,J97*J98,IF(J96=$I$240,J97*J98*J99,1)))=0,"Fyll i 2.6-2.8",IF(J96=$I$238,J97,IF(J96=$I$239,J97*J98,IF(J96=$I$240,J97*J98*J99,1))))</f>
        <v>1</v>
      </c>
      <c r="K100" s="183">
        <f t="shared" si="6"/>
        <v>1</v>
      </c>
      <c r="L100" s="183">
        <f t="shared" si="6"/>
        <v>1</v>
      </c>
      <c r="M100" s="183">
        <f t="shared" si="6"/>
        <v>1</v>
      </c>
      <c r="N100" s="183">
        <f t="shared" si="6"/>
        <v>1</v>
      </c>
      <c r="O100" s="183">
        <f t="shared" si="6"/>
        <v>1</v>
      </c>
      <c r="P100" s="183">
        <f t="shared" si="6"/>
        <v>1</v>
      </c>
      <c r="Q100" s="183">
        <f t="shared" si="6"/>
        <v>1</v>
      </c>
      <c r="R100" s="183">
        <f t="shared" si="6"/>
        <v>1</v>
      </c>
      <c r="S100" s="113"/>
      <c r="T100" s="113"/>
    </row>
    <row r="101" spans="2:20" s="190" customFormat="1" ht="16.5" customHeight="1" x14ac:dyDescent="0.25">
      <c r="B101" s="116" t="s">
        <v>104</v>
      </c>
      <c r="C101" s="120" t="s">
        <v>105</v>
      </c>
      <c r="D101" s="121"/>
      <c r="E101" s="121"/>
      <c r="F101" s="121"/>
      <c r="G101" s="122"/>
      <c r="H101" s="122" t="s">
        <v>106</v>
      </c>
      <c r="I101" s="72"/>
      <c r="J101" s="72"/>
      <c r="K101" s="72"/>
      <c r="L101" s="72"/>
      <c r="M101" s="72"/>
      <c r="N101" s="72"/>
      <c r="O101" s="72"/>
      <c r="P101" s="72"/>
      <c r="Q101" s="72"/>
      <c r="R101" s="72"/>
      <c r="S101" s="113"/>
      <c r="T101" s="113"/>
    </row>
    <row r="102" spans="2:20" s="190" customFormat="1" ht="16.5" customHeight="1" x14ac:dyDescent="0.25">
      <c r="B102" s="116"/>
      <c r="C102" s="123"/>
      <c r="D102" s="123"/>
      <c r="E102" s="123"/>
      <c r="F102" s="123"/>
      <c r="G102" s="123"/>
      <c r="H102" s="123"/>
      <c r="I102" s="197"/>
      <c r="J102" s="197"/>
      <c r="K102" s="197"/>
      <c r="L102" s="197"/>
      <c r="M102" s="197"/>
      <c r="N102" s="197"/>
      <c r="O102" s="197"/>
      <c r="P102" s="197"/>
      <c r="Q102" s="197"/>
      <c r="R102" s="197"/>
      <c r="S102" s="113"/>
      <c r="T102" s="113"/>
    </row>
    <row r="103" spans="2:20" s="190" customFormat="1" ht="16.5" customHeight="1" x14ac:dyDescent="0.25">
      <c r="B103" s="116"/>
      <c r="C103" s="115" t="s">
        <v>112</v>
      </c>
      <c r="D103" s="123"/>
      <c r="E103" s="123"/>
      <c r="F103" s="123"/>
      <c r="G103" s="123"/>
      <c r="H103" s="123"/>
      <c r="I103" s="197"/>
      <c r="J103" s="197"/>
      <c r="K103" s="197"/>
      <c r="L103" s="197"/>
      <c r="M103" s="197"/>
      <c r="N103" s="197"/>
      <c r="O103" s="197"/>
      <c r="P103" s="197"/>
      <c r="Q103" s="197"/>
      <c r="R103" s="197"/>
      <c r="S103" s="113"/>
      <c r="T103" s="113"/>
    </row>
    <row r="104" spans="2:20" s="190" customFormat="1" ht="16.5" customHeight="1" x14ac:dyDescent="0.25">
      <c r="B104" s="116" t="s">
        <v>83</v>
      </c>
      <c r="C104" s="120" t="s">
        <v>84</v>
      </c>
      <c r="D104" s="121"/>
      <c r="E104" s="121"/>
      <c r="F104" s="121"/>
      <c r="G104" s="122"/>
      <c r="H104" s="122" t="s">
        <v>78</v>
      </c>
      <c r="I104" s="72"/>
      <c r="J104" s="72"/>
      <c r="K104" s="72"/>
      <c r="L104" s="72"/>
      <c r="M104" s="72"/>
      <c r="N104" s="72"/>
      <c r="O104" s="72"/>
      <c r="P104" s="72"/>
      <c r="Q104" s="72"/>
      <c r="R104" s="72"/>
      <c r="S104" s="113"/>
      <c r="T104" s="113"/>
    </row>
    <row r="105" spans="2:20" s="190" customFormat="1" ht="16.5" customHeight="1" x14ac:dyDescent="0.25">
      <c r="B105" s="116" t="s">
        <v>85</v>
      </c>
      <c r="C105" s="120" t="s">
        <v>86</v>
      </c>
      <c r="D105" s="121"/>
      <c r="E105" s="121"/>
      <c r="F105" s="121"/>
      <c r="G105" s="122"/>
      <c r="H105" s="122" t="s">
        <v>87</v>
      </c>
      <c r="I105" s="72"/>
      <c r="J105" s="72"/>
      <c r="K105" s="72"/>
      <c r="L105" s="72"/>
      <c r="M105" s="72"/>
      <c r="N105" s="72"/>
      <c r="O105" s="72"/>
      <c r="P105" s="72"/>
      <c r="Q105" s="72"/>
      <c r="R105" s="72"/>
      <c r="S105" s="113"/>
      <c r="T105" s="113"/>
    </row>
    <row r="106" spans="2:20" s="190" customFormat="1" ht="16.5" customHeight="1" x14ac:dyDescent="0.25">
      <c r="B106" s="116" t="s">
        <v>88</v>
      </c>
      <c r="C106" s="120" t="s">
        <v>89</v>
      </c>
      <c r="D106" s="121"/>
      <c r="E106" s="121"/>
      <c r="F106" s="121"/>
      <c r="G106" s="122"/>
      <c r="H106" s="122" t="s">
        <v>87</v>
      </c>
      <c r="I106" s="72"/>
      <c r="J106" s="72"/>
      <c r="K106" s="72"/>
      <c r="L106" s="72"/>
      <c r="M106" s="72"/>
      <c r="N106" s="72"/>
      <c r="O106" s="72"/>
      <c r="P106" s="72"/>
      <c r="Q106" s="72"/>
      <c r="R106" s="72"/>
      <c r="S106" s="113"/>
      <c r="T106" s="113"/>
    </row>
    <row r="107" spans="2:20" s="190" customFormat="1" ht="16.5" customHeight="1" x14ac:dyDescent="0.25">
      <c r="B107" s="116" t="s">
        <v>90</v>
      </c>
      <c r="C107" s="120" t="s">
        <v>91</v>
      </c>
      <c r="D107" s="121"/>
      <c r="E107" s="121"/>
      <c r="F107" s="121"/>
      <c r="G107" s="122"/>
      <c r="H107" s="122" t="s">
        <v>92</v>
      </c>
      <c r="I107" s="72"/>
      <c r="J107" s="72"/>
      <c r="K107" s="72"/>
      <c r="L107" s="72"/>
      <c r="M107" s="72"/>
      <c r="N107" s="72"/>
      <c r="O107" s="72"/>
      <c r="P107" s="72"/>
      <c r="Q107" s="72"/>
      <c r="R107" s="72"/>
      <c r="S107" s="113"/>
      <c r="T107" s="113"/>
    </row>
    <row r="108" spans="2:20" s="198" customFormat="1" ht="30" customHeight="1" x14ac:dyDescent="0.25">
      <c r="B108" s="125" t="s">
        <v>93</v>
      </c>
      <c r="C108" s="120" t="s">
        <v>94</v>
      </c>
      <c r="D108" s="126"/>
      <c r="E108" s="126"/>
      <c r="F108" s="126"/>
      <c r="G108" s="127"/>
      <c r="H108" s="127"/>
      <c r="I108" s="72" t="s">
        <v>95</v>
      </c>
      <c r="J108" s="72" t="s">
        <v>95</v>
      </c>
      <c r="K108" s="72" t="s">
        <v>95</v>
      </c>
      <c r="L108" s="72" t="s">
        <v>95</v>
      </c>
      <c r="M108" s="72" t="s">
        <v>95</v>
      </c>
      <c r="N108" s="72" t="s">
        <v>95</v>
      </c>
      <c r="O108" s="72" t="s">
        <v>95</v>
      </c>
      <c r="P108" s="72" t="s">
        <v>95</v>
      </c>
      <c r="Q108" s="72" t="s">
        <v>95</v>
      </c>
      <c r="R108" s="72" t="s">
        <v>95</v>
      </c>
      <c r="S108" s="113"/>
      <c r="T108" s="113"/>
    </row>
    <row r="109" spans="2:20" s="190" customFormat="1" ht="24.75" x14ac:dyDescent="0.25">
      <c r="B109" s="116" t="s">
        <v>96</v>
      </c>
      <c r="C109" s="120" t="s">
        <v>97</v>
      </c>
      <c r="D109" s="121"/>
      <c r="E109" s="121"/>
      <c r="F109" s="121"/>
      <c r="G109" s="122"/>
      <c r="H109" s="122"/>
      <c r="I109" s="72" t="str" cm="1">
        <f t="array" ref="I109">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09" s="72" t="str" cm="1">
        <f t="array" ref="J109">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09" s="72" t="str" cm="1">
        <f t="array" ref="K109">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09" s="72" t="str" cm="1">
        <f t="array" ref="L109">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09" s="72" t="str" cm="1">
        <f t="array" ref="M109">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09" s="72" t="str" cm="1">
        <f t="array" ref="N109">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09" s="72" t="str" cm="1">
        <f t="array" ref="O109">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09" s="72" t="str" cm="1">
        <f t="array" ref="P109">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09" s="72" t="str" cm="1">
        <f t="array" ref="Q109">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09" s="72" t="str" cm="1">
        <f t="array" ref="R109">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09" s="113"/>
      <c r="T109" s="113"/>
    </row>
    <row r="110" spans="2:20" s="190" customFormat="1" ht="24.75" x14ac:dyDescent="0.25">
      <c r="B110" s="116" t="s">
        <v>98</v>
      </c>
      <c r="C110" s="120" t="s">
        <v>99</v>
      </c>
      <c r="D110" s="121"/>
      <c r="E110" s="121"/>
      <c r="F110" s="121"/>
      <c r="G110" s="122"/>
      <c r="H110" s="122"/>
      <c r="I110" s="72" t="str" cm="1">
        <f t="array" ref="I110">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10" s="72" t="str" cm="1">
        <f t="array" ref="J110">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10" s="72" t="str" cm="1">
        <f t="array" ref="K110">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10" s="72" t="str" cm="1">
        <f t="array" ref="L110">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10" s="72" t="str" cm="1">
        <f t="array" ref="M110">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10" s="72" t="str" cm="1">
        <f t="array" ref="N110">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10" s="72" t="str" cm="1">
        <f t="array" ref="O110">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10" s="72" t="str" cm="1">
        <f t="array" ref="P110">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10" s="72" t="str" cm="1">
        <f t="array" ref="Q110">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10" s="72" t="str" cm="1">
        <f t="array" ref="R110">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10" s="113"/>
      <c r="T110" s="113"/>
    </row>
    <row r="111" spans="2:20" s="190" customFormat="1" ht="24.75" x14ac:dyDescent="0.25">
      <c r="B111" s="116" t="s">
        <v>100</v>
      </c>
      <c r="C111" s="120" t="s">
        <v>101</v>
      </c>
      <c r="D111" s="121"/>
      <c r="E111" s="121"/>
      <c r="F111" s="121"/>
      <c r="G111" s="122"/>
      <c r="H111" s="122"/>
      <c r="I111" s="72" t="str" cm="1">
        <f t="array" ref="I111">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11" s="72" t="str" cm="1">
        <f t="array" ref="J111">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11" s="72" t="str" cm="1">
        <f t="array" ref="K111">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11" s="72" t="str" cm="1">
        <f t="array" ref="L111">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11" s="72" t="str" cm="1">
        <f t="array" ref="M111">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11" s="72" t="str" cm="1">
        <f t="array" ref="N111">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11" s="72" t="str" cm="1">
        <f t="array" ref="O111">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11" s="72" t="str" cm="1">
        <f t="array" ref="P111">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11" s="72" t="str" cm="1">
        <f t="array" ref="Q111">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11" s="72" t="str" cm="1">
        <f t="array" ref="R111">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11" s="113"/>
      <c r="T111" s="113"/>
    </row>
    <row r="112" spans="2:20" s="190" customFormat="1" ht="16.5" customHeight="1" x14ac:dyDescent="0.25">
      <c r="B112" s="116" t="s">
        <v>102</v>
      </c>
      <c r="C112" s="124" t="s">
        <v>103</v>
      </c>
      <c r="D112" s="121"/>
      <c r="E112" s="121"/>
      <c r="F112" s="121"/>
      <c r="G112" s="122"/>
      <c r="H112" s="122"/>
      <c r="I112" s="183">
        <f>IF(IF(I108=$I$238,I109,IF(I108=$I$239,I109*I110,IF(I108=$I$240,I109*I110*I111,1)))=0,"Fyll i 2.6-2.8",IF(I108=$I$238,I109,IF(I108=$I$239,I109*I110,IF(I108=$I$240,I109*I110*I111,1))))</f>
        <v>1</v>
      </c>
      <c r="J112" s="183">
        <f t="shared" ref="J112:R112" si="7">IF(IF(J108=$I$238,J109,IF(J108=$I$239,J109*J110,IF(J108=$I$240,J109*J110*J111,1)))=0,"Fyll i 2.6-2.8",IF(J108=$I$238,J109,IF(J108=$I$239,J109*J110,IF(J108=$I$240,J109*J110*J111,1))))</f>
        <v>1</v>
      </c>
      <c r="K112" s="183">
        <f t="shared" si="7"/>
        <v>1</v>
      </c>
      <c r="L112" s="183">
        <f t="shared" si="7"/>
        <v>1</v>
      </c>
      <c r="M112" s="183">
        <f t="shared" si="7"/>
        <v>1</v>
      </c>
      <c r="N112" s="183">
        <f t="shared" si="7"/>
        <v>1</v>
      </c>
      <c r="O112" s="183">
        <f t="shared" si="7"/>
        <v>1</v>
      </c>
      <c r="P112" s="183">
        <f t="shared" si="7"/>
        <v>1</v>
      </c>
      <c r="Q112" s="183">
        <f t="shared" si="7"/>
        <v>1</v>
      </c>
      <c r="R112" s="183">
        <f t="shared" si="7"/>
        <v>1</v>
      </c>
      <c r="S112" s="113"/>
      <c r="T112" s="113"/>
    </row>
    <row r="113" spans="2:20" s="190" customFormat="1" ht="16.5" customHeight="1" x14ac:dyDescent="0.25">
      <c r="B113" s="116" t="s">
        <v>104</v>
      </c>
      <c r="C113" s="120" t="s">
        <v>105</v>
      </c>
      <c r="D113" s="121"/>
      <c r="E113" s="121"/>
      <c r="F113" s="121"/>
      <c r="G113" s="122"/>
      <c r="H113" s="122" t="s">
        <v>106</v>
      </c>
      <c r="I113" s="72"/>
      <c r="J113" s="72"/>
      <c r="K113" s="72"/>
      <c r="L113" s="72"/>
      <c r="M113" s="72"/>
      <c r="N113" s="72"/>
      <c r="O113" s="72"/>
      <c r="P113" s="72"/>
      <c r="Q113" s="72"/>
      <c r="R113" s="72"/>
      <c r="S113" s="113"/>
      <c r="T113" s="113"/>
    </row>
    <row r="114" spans="2:20" s="190" customFormat="1" ht="16.5" customHeight="1" x14ac:dyDescent="0.25">
      <c r="B114" s="116"/>
      <c r="C114" s="123"/>
      <c r="D114" s="123"/>
      <c r="E114" s="123"/>
      <c r="F114" s="123"/>
      <c r="G114" s="123"/>
      <c r="H114" s="123"/>
      <c r="I114" s="197"/>
      <c r="J114" s="197"/>
      <c r="K114" s="197"/>
      <c r="L114" s="197"/>
      <c r="M114" s="197"/>
      <c r="N114" s="197"/>
      <c r="O114" s="197"/>
      <c r="P114" s="197"/>
      <c r="Q114" s="197"/>
      <c r="R114" s="197"/>
      <c r="S114" s="113"/>
      <c r="T114" s="113"/>
    </row>
    <row r="115" spans="2:20" s="190" customFormat="1" ht="16.5" customHeight="1" x14ac:dyDescent="0.25">
      <c r="B115" s="116"/>
      <c r="C115" s="115" t="s">
        <v>113</v>
      </c>
      <c r="D115" s="123"/>
      <c r="E115" s="123"/>
      <c r="F115" s="123"/>
      <c r="G115" s="123"/>
      <c r="H115" s="123"/>
      <c r="I115" s="197"/>
      <c r="J115" s="197"/>
      <c r="K115" s="197"/>
      <c r="L115" s="197"/>
      <c r="M115" s="197"/>
      <c r="N115" s="197"/>
      <c r="O115" s="197"/>
      <c r="P115" s="197"/>
      <c r="Q115" s="197"/>
      <c r="R115" s="197"/>
      <c r="S115" s="113"/>
      <c r="T115" s="113"/>
    </row>
    <row r="116" spans="2:20" s="190" customFormat="1" ht="16.5" customHeight="1" x14ac:dyDescent="0.25">
      <c r="B116" s="116" t="s">
        <v>83</v>
      </c>
      <c r="C116" s="120" t="s">
        <v>84</v>
      </c>
      <c r="D116" s="121"/>
      <c r="E116" s="121"/>
      <c r="F116" s="121"/>
      <c r="G116" s="122"/>
      <c r="H116" s="122" t="s">
        <v>78</v>
      </c>
      <c r="I116" s="72"/>
      <c r="J116" s="72"/>
      <c r="K116" s="72"/>
      <c r="L116" s="72"/>
      <c r="M116" s="72"/>
      <c r="N116" s="72"/>
      <c r="O116" s="72"/>
      <c r="P116" s="72"/>
      <c r="Q116" s="72"/>
      <c r="R116" s="72"/>
      <c r="S116" s="113"/>
      <c r="T116" s="113"/>
    </row>
    <row r="117" spans="2:20" s="190" customFormat="1" ht="16.5" customHeight="1" x14ac:dyDescent="0.25">
      <c r="B117" s="116" t="s">
        <v>85</v>
      </c>
      <c r="C117" s="120" t="s">
        <v>86</v>
      </c>
      <c r="D117" s="121"/>
      <c r="E117" s="121"/>
      <c r="F117" s="121"/>
      <c r="G117" s="122"/>
      <c r="H117" s="122" t="s">
        <v>87</v>
      </c>
      <c r="I117" s="72"/>
      <c r="J117" s="72"/>
      <c r="K117" s="72"/>
      <c r="L117" s="72"/>
      <c r="M117" s="72"/>
      <c r="N117" s="72"/>
      <c r="O117" s="72"/>
      <c r="P117" s="72"/>
      <c r="Q117" s="72"/>
      <c r="R117" s="72"/>
      <c r="S117" s="113"/>
      <c r="T117" s="113"/>
    </row>
    <row r="118" spans="2:20" s="190" customFormat="1" ht="16.5" customHeight="1" x14ac:dyDescent="0.25">
      <c r="B118" s="116" t="s">
        <v>88</v>
      </c>
      <c r="C118" s="120" t="s">
        <v>89</v>
      </c>
      <c r="D118" s="121"/>
      <c r="E118" s="121"/>
      <c r="F118" s="121"/>
      <c r="G118" s="122"/>
      <c r="H118" s="122" t="s">
        <v>87</v>
      </c>
      <c r="I118" s="72"/>
      <c r="J118" s="72"/>
      <c r="K118" s="72"/>
      <c r="L118" s="72"/>
      <c r="M118" s="72"/>
      <c r="N118" s="72"/>
      <c r="O118" s="72"/>
      <c r="P118" s="72"/>
      <c r="Q118" s="72"/>
      <c r="R118" s="72"/>
      <c r="S118" s="113"/>
      <c r="T118" s="113"/>
    </row>
    <row r="119" spans="2:20" s="190" customFormat="1" ht="16.5" customHeight="1" x14ac:dyDescent="0.25">
      <c r="B119" s="116" t="s">
        <v>90</v>
      </c>
      <c r="C119" s="120" t="s">
        <v>91</v>
      </c>
      <c r="D119" s="121"/>
      <c r="E119" s="121"/>
      <c r="F119" s="121"/>
      <c r="G119" s="122"/>
      <c r="H119" s="122" t="s">
        <v>92</v>
      </c>
      <c r="I119" s="72"/>
      <c r="J119" s="72"/>
      <c r="K119" s="72"/>
      <c r="L119" s="72"/>
      <c r="M119" s="72"/>
      <c r="N119" s="72"/>
      <c r="O119" s="72"/>
      <c r="P119" s="72"/>
      <c r="Q119" s="72"/>
      <c r="R119" s="72"/>
      <c r="S119" s="113"/>
      <c r="T119" s="113"/>
    </row>
    <row r="120" spans="2:20" s="198" customFormat="1" ht="30" customHeight="1" x14ac:dyDescent="0.25">
      <c r="B120" s="125" t="s">
        <v>93</v>
      </c>
      <c r="C120" s="120" t="s">
        <v>94</v>
      </c>
      <c r="D120" s="126"/>
      <c r="E120" s="126"/>
      <c r="F120" s="126"/>
      <c r="G120" s="127"/>
      <c r="H120" s="127"/>
      <c r="I120" s="72" t="s">
        <v>95</v>
      </c>
      <c r="J120" s="72" t="s">
        <v>95</v>
      </c>
      <c r="K120" s="72" t="s">
        <v>95</v>
      </c>
      <c r="L120" s="72" t="s">
        <v>95</v>
      </c>
      <c r="M120" s="72" t="s">
        <v>95</v>
      </c>
      <c r="N120" s="72" t="s">
        <v>95</v>
      </c>
      <c r="O120" s="72" t="s">
        <v>95</v>
      </c>
      <c r="P120" s="72" t="s">
        <v>95</v>
      </c>
      <c r="Q120" s="72" t="s">
        <v>95</v>
      </c>
      <c r="R120" s="72" t="s">
        <v>95</v>
      </c>
      <c r="S120" s="113"/>
      <c r="T120" s="113"/>
    </row>
    <row r="121" spans="2:20" s="190" customFormat="1" ht="24.75" x14ac:dyDescent="0.25">
      <c r="B121" s="116" t="s">
        <v>96</v>
      </c>
      <c r="C121" s="120" t="s">
        <v>97</v>
      </c>
      <c r="D121" s="121"/>
      <c r="E121" s="121"/>
      <c r="F121" s="121"/>
      <c r="G121" s="122"/>
      <c r="H121" s="122"/>
      <c r="I121" s="72" t="str" cm="1">
        <f t="array" ref="I121">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21" s="72" t="str" cm="1">
        <f t="array" ref="J121">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21" s="72" t="str" cm="1">
        <f t="array" ref="K121">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21" s="72" t="str" cm="1">
        <f t="array" ref="L121">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21" s="72" t="str" cm="1">
        <f t="array" ref="M121">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21" s="72" t="str" cm="1">
        <f t="array" ref="N121">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21" s="72" t="str" cm="1">
        <f t="array" ref="O121">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21" s="72" t="str" cm="1">
        <f t="array" ref="P121">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21" s="72" t="str" cm="1">
        <f t="array" ref="Q121">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21" s="72" t="str" cm="1">
        <f t="array" ref="R121">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21" s="113"/>
      <c r="T121" s="113"/>
    </row>
    <row r="122" spans="2:20" s="190" customFormat="1" ht="24.75" x14ac:dyDescent="0.25">
      <c r="B122" s="116" t="s">
        <v>98</v>
      </c>
      <c r="C122" s="120" t="s">
        <v>99</v>
      </c>
      <c r="D122" s="121"/>
      <c r="E122" s="121"/>
      <c r="F122" s="121"/>
      <c r="G122" s="122"/>
      <c r="H122" s="122"/>
      <c r="I122" s="72" t="str" cm="1">
        <f t="array" ref="I122">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22" s="72" t="str" cm="1">
        <f t="array" ref="J122">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22" s="72" t="str" cm="1">
        <f t="array" ref="K122">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22" s="72" t="str" cm="1">
        <f t="array" ref="L122">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22" s="72" t="str" cm="1">
        <f t="array" ref="M122">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22" s="72" t="str" cm="1">
        <f t="array" ref="N122">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22" s="72" t="str" cm="1">
        <f t="array" ref="O122">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22" s="72" t="str" cm="1">
        <f t="array" ref="P122">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22" s="72" t="str" cm="1">
        <f t="array" ref="Q122">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22" s="72" t="str" cm="1">
        <f t="array" ref="R122">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22" s="113"/>
      <c r="T122" s="113"/>
    </row>
    <row r="123" spans="2:20" s="190" customFormat="1" ht="24.75" x14ac:dyDescent="0.25">
      <c r="B123" s="116" t="s">
        <v>100</v>
      </c>
      <c r="C123" s="120" t="s">
        <v>101</v>
      </c>
      <c r="D123" s="121"/>
      <c r="E123" s="121"/>
      <c r="F123" s="121"/>
      <c r="G123" s="122"/>
      <c r="H123" s="122"/>
      <c r="I123" s="72" t="str" cm="1">
        <f t="array" ref="I123">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23" s="72" t="str" cm="1">
        <f t="array" ref="J123">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23" s="72" t="str" cm="1">
        <f t="array" ref="K123">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23" s="72" t="str" cm="1">
        <f t="array" ref="L123">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23" s="72" t="str" cm="1">
        <f t="array" ref="M123">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23" s="72" t="str" cm="1">
        <f t="array" ref="N123">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23" s="72" t="str" cm="1">
        <f t="array" ref="O123">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23" s="72" t="str" cm="1">
        <f t="array" ref="P123">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23" s="72" t="str" cm="1">
        <f t="array" ref="Q123">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23" s="72" t="str" cm="1">
        <f t="array" ref="R123">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23" s="113"/>
      <c r="T123" s="113"/>
    </row>
    <row r="124" spans="2:20" s="190" customFormat="1" ht="16.5" customHeight="1" x14ac:dyDescent="0.25">
      <c r="B124" s="116" t="s">
        <v>102</v>
      </c>
      <c r="C124" s="124" t="s">
        <v>103</v>
      </c>
      <c r="D124" s="121"/>
      <c r="E124" s="121"/>
      <c r="F124" s="121"/>
      <c r="G124" s="122"/>
      <c r="H124" s="122"/>
      <c r="I124" s="183">
        <f>IF(IF(I120=$I$238,I121,IF(I120=$I$239,I121*I122,IF(I120=$I$240,I121*I122*I123,1)))=0,"Fyll i 2.6-2.8",IF(I120=$I$238,I121,IF(I120=$I$239,I121*I122,IF(I120=$I$240,I121*I122*I123,1))))</f>
        <v>1</v>
      </c>
      <c r="J124" s="183">
        <f t="shared" ref="J124:R124" si="8">IF(IF(J120=$I$238,J121,IF(J120=$I$239,J121*J122,IF(J120=$I$240,J121*J122*J123,1)))=0,"Fyll i 2.6-2.8",IF(J120=$I$238,J121,IF(J120=$I$239,J121*J122,IF(J120=$I$240,J121*J122*J123,1))))</f>
        <v>1</v>
      </c>
      <c r="K124" s="183">
        <f t="shared" si="8"/>
        <v>1</v>
      </c>
      <c r="L124" s="183">
        <f t="shared" si="8"/>
        <v>1</v>
      </c>
      <c r="M124" s="183">
        <f t="shared" si="8"/>
        <v>1</v>
      </c>
      <c r="N124" s="183">
        <f t="shared" si="8"/>
        <v>1</v>
      </c>
      <c r="O124" s="183">
        <f t="shared" si="8"/>
        <v>1</v>
      </c>
      <c r="P124" s="183">
        <f t="shared" si="8"/>
        <v>1</v>
      </c>
      <c r="Q124" s="183">
        <f t="shared" si="8"/>
        <v>1</v>
      </c>
      <c r="R124" s="183">
        <f t="shared" si="8"/>
        <v>1</v>
      </c>
      <c r="S124" s="113"/>
      <c r="T124" s="113"/>
    </row>
    <row r="125" spans="2:20" s="190" customFormat="1" ht="16.5" customHeight="1" x14ac:dyDescent="0.25">
      <c r="B125" s="116" t="s">
        <v>104</v>
      </c>
      <c r="C125" s="120" t="s">
        <v>105</v>
      </c>
      <c r="D125" s="121"/>
      <c r="E125" s="121"/>
      <c r="F125" s="121"/>
      <c r="G125" s="122"/>
      <c r="H125" s="122" t="s">
        <v>106</v>
      </c>
      <c r="I125" s="72"/>
      <c r="J125" s="72"/>
      <c r="K125" s="72"/>
      <c r="L125" s="72"/>
      <c r="M125" s="72"/>
      <c r="N125" s="72"/>
      <c r="O125" s="72"/>
      <c r="P125" s="72"/>
      <c r="Q125" s="72"/>
      <c r="R125" s="72"/>
      <c r="S125" s="113"/>
      <c r="T125" s="113"/>
    </row>
    <row r="126" spans="2:20" s="190" customFormat="1" ht="16.5" customHeight="1" x14ac:dyDescent="0.25">
      <c r="B126" s="116"/>
      <c r="C126" s="123"/>
      <c r="D126" s="123"/>
      <c r="E126" s="123"/>
      <c r="F126" s="123"/>
      <c r="G126" s="123"/>
      <c r="H126" s="123"/>
      <c r="I126" s="197"/>
      <c r="J126" s="197"/>
      <c r="K126" s="197"/>
      <c r="L126" s="197"/>
      <c r="M126" s="197"/>
      <c r="N126" s="197"/>
      <c r="O126" s="197"/>
      <c r="P126" s="197"/>
      <c r="Q126" s="197"/>
      <c r="R126" s="197"/>
      <c r="S126" s="113"/>
      <c r="T126" s="113"/>
    </row>
    <row r="127" spans="2:20" s="190" customFormat="1" ht="16.5" customHeight="1" x14ac:dyDescent="0.25">
      <c r="B127" s="116"/>
      <c r="C127" s="115" t="s">
        <v>114</v>
      </c>
      <c r="D127" s="123"/>
      <c r="E127" s="123"/>
      <c r="F127" s="123"/>
      <c r="G127" s="123"/>
      <c r="H127" s="123"/>
      <c r="I127" s="197"/>
      <c r="J127" s="197"/>
      <c r="K127" s="197"/>
      <c r="L127" s="197"/>
      <c r="M127" s="197"/>
      <c r="N127" s="197"/>
      <c r="O127" s="197"/>
      <c r="P127" s="197"/>
      <c r="Q127" s="197"/>
      <c r="R127" s="197"/>
      <c r="S127" s="113"/>
      <c r="T127" s="113"/>
    </row>
    <row r="128" spans="2:20" s="190" customFormat="1" ht="16.5" customHeight="1" x14ac:dyDescent="0.25">
      <c r="B128" s="116" t="s">
        <v>83</v>
      </c>
      <c r="C128" s="120" t="s">
        <v>84</v>
      </c>
      <c r="D128" s="121"/>
      <c r="E128" s="121"/>
      <c r="F128" s="121"/>
      <c r="G128" s="122"/>
      <c r="H128" s="122" t="s">
        <v>78</v>
      </c>
      <c r="I128" s="72"/>
      <c r="J128" s="72"/>
      <c r="K128" s="72"/>
      <c r="L128" s="72"/>
      <c r="M128" s="72"/>
      <c r="N128" s="72"/>
      <c r="O128" s="72"/>
      <c r="P128" s="72"/>
      <c r="Q128" s="72"/>
      <c r="R128" s="72"/>
      <c r="S128" s="113"/>
      <c r="T128" s="113"/>
    </row>
    <row r="129" spans="2:20" s="190" customFormat="1" ht="16.5" customHeight="1" x14ac:dyDescent="0.25">
      <c r="B129" s="116" t="s">
        <v>85</v>
      </c>
      <c r="C129" s="120" t="s">
        <v>86</v>
      </c>
      <c r="D129" s="121"/>
      <c r="E129" s="121"/>
      <c r="F129" s="121"/>
      <c r="G129" s="122"/>
      <c r="H129" s="122" t="s">
        <v>87</v>
      </c>
      <c r="I129" s="72"/>
      <c r="J129" s="72"/>
      <c r="K129" s="72"/>
      <c r="L129" s="72"/>
      <c r="M129" s="72"/>
      <c r="N129" s="72"/>
      <c r="O129" s="72"/>
      <c r="P129" s="72"/>
      <c r="Q129" s="72"/>
      <c r="R129" s="72"/>
      <c r="S129" s="113"/>
      <c r="T129" s="113"/>
    </row>
    <row r="130" spans="2:20" s="190" customFormat="1" ht="16.5" customHeight="1" x14ac:dyDescent="0.25">
      <c r="B130" s="116" t="s">
        <v>88</v>
      </c>
      <c r="C130" s="120" t="s">
        <v>89</v>
      </c>
      <c r="D130" s="121"/>
      <c r="E130" s="121"/>
      <c r="F130" s="121"/>
      <c r="G130" s="122"/>
      <c r="H130" s="122" t="s">
        <v>87</v>
      </c>
      <c r="I130" s="72"/>
      <c r="J130" s="72"/>
      <c r="K130" s="72"/>
      <c r="L130" s="72"/>
      <c r="M130" s="72"/>
      <c r="N130" s="72"/>
      <c r="O130" s="72"/>
      <c r="P130" s="72"/>
      <c r="Q130" s="72"/>
      <c r="R130" s="72"/>
      <c r="S130" s="113"/>
      <c r="T130" s="113"/>
    </row>
    <row r="131" spans="2:20" s="190" customFormat="1" ht="16.5" customHeight="1" x14ac:dyDescent="0.25">
      <c r="B131" s="116" t="s">
        <v>90</v>
      </c>
      <c r="C131" s="120" t="s">
        <v>91</v>
      </c>
      <c r="D131" s="121"/>
      <c r="E131" s="121"/>
      <c r="F131" s="121"/>
      <c r="G131" s="122"/>
      <c r="H131" s="122" t="s">
        <v>92</v>
      </c>
      <c r="I131" s="72"/>
      <c r="J131" s="72"/>
      <c r="K131" s="72"/>
      <c r="L131" s="72"/>
      <c r="M131" s="72"/>
      <c r="N131" s="72"/>
      <c r="O131" s="72"/>
      <c r="P131" s="72"/>
      <c r="Q131" s="72"/>
      <c r="R131" s="72"/>
      <c r="S131" s="113"/>
      <c r="T131" s="113"/>
    </row>
    <row r="132" spans="2:20" s="198" customFormat="1" ht="30" customHeight="1" x14ac:dyDescent="0.25">
      <c r="B132" s="125" t="s">
        <v>93</v>
      </c>
      <c r="C132" s="120" t="s">
        <v>94</v>
      </c>
      <c r="D132" s="126"/>
      <c r="E132" s="126"/>
      <c r="F132" s="126"/>
      <c r="G132" s="127"/>
      <c r="H132" s="127"/>
      <c r="I132" s="72" t="s">
        <v>95</v>
      </c>
      <c r="J132" s="72" t="s">
        <v>95</v>
      </c>
      <c r="K132" s="72" t="s">
        <v>95</v>
      </c>
      <c r="L132" s="72" t="s">
        <v>95</v>
      </c>
      <c r="M132" s="72" t="s">
        <v>95</v>
      </c>
      <c r="N132" s="72" t="s">
        <v>95</v>
      </c>
      <c r="O132" s="72" t="s">
        <v>95</v>
      </c>
      <c r="P132" s="72" t="s">
        <v>95</v>
      </c>
      <c r="Q132" s="72" t="s">
        <v>95</v>
      </c>
      <c r="R132" s="72" t="s">
        <v>95</v>
      </c>
      <c r="S132" s="113"/>
      <c r="T132" s="113"/>
    </row>
    <row r="133" spans="2:20" s="190" customFormat="1" ht="24.75" x14ac:dyDescent="0.25">
      <c r="B133" s="116" t="s">
        <v>96</v>
      </c>
      <c r="C133" s="120" t="s">
        <v>97</v>
      </c>
      <c r="D133" s="121"/>
      <c r="E133" s="121"/>
      <c r="F133" s="121"/>
      <c r="G133" s="122"/>
      <c r="H133" s="122"/>
      <c r="I133" s="72" t="str" cm="1">
        <f t="array" ref="I133">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33" s="72" t="str" cm="1">
        <f t="array" ref="J133">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33" s="72" t="str" cm="1">
        <f t="array" ref="K133">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33" s="72" t="str" cm="1">
        <f t="array" ref="L133">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33" s="72" t="str" cm="1">
        <f t="array" ref="M133">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33" s="72" t="str" cm="1">
        <f t="array" ref="N133">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33" s="72" t="str" cm="1">
        <f t="array" ref="O133">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33" s="72" t="str" cm="1">
        <f t="array" ref="P133">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33" s="72" t="str" cm="1">
        <f t="array" ref="Q133">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33" s="72" t="str" cm="1">
        <f t="array" ref="R133">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33" s="113"/>
      <c r="T133" s="113"/>
    </row>
    <row r="134" spans="2:20" s="190" customFormat="1" ht="24.75" x14ac:dyDescent="0.25">
      <c r="B134" s="116" t="s">
        <v>98</v>
      </c>
      <c r="C134" s="120" t="s">
        <v>99</v>
      </c>
      <c r="D134" s="121"/>
      <c r="E134" s="121"/>
      <c r="F134" s="121"/>
      <c r="G134" s="122"/>
      <c r="H134" s="122"/>
      <c r="I134" s="72" t="str" cm="1">
        <f t="array" ref="I134">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34" s="72" t="str" cm="1">
        <f t="array" ref="J134">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34" s="72" t="str" cm="1">
        <f t="array" ref="K134">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34" s="72" t="str" cm="1">
        <f t="array" ref="L134">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34" s="72" t="str" cm="1">
        <f t="array" ref="M134">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34" s="72" t="str" cm="1">
        <f t="array" ref="N134">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34" s="72" t="str" cm="1">
        <f t="array" ref="O134">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34" s="72" t="str" cm="1">
        <f t="array" ref="P134">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34" s="72" t="str" cm="1">
        <f t="array" ref="Q134">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34" s="72" t="str" cm="1">
        <f t="array" ref="R134">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34" s="113"/>
      <c r="T134" s="113"/>
    </row>
    <row r="135" spans="2:20" s="190" customFormat="1" ht="24.75" x14ac:dyDescent="0.25">
      <c r="B135" s="116" t="s">
        <v>100</v>
      </c>
      <c r="C135" s="120" t="s">
        <v>101</v>
      </c>
      <c r="D135" s="121"/>
      <c r="E135" s="121"/>
      <c r="F135" s="121"/>
      <c r="G135" s="122"/>
      <c r="H135" s="122"/>
      <c r="I135" s="72" t="str" cm="1">
        <f t="array" ref="I135">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35" s="72" t="str" cm="1">
        <f t="array" ref="J135">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35" s="72" t="str" cm="1">
        <f t="array" ref="K135">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35" s="72" t="str" cm="1">
        <f t="array" ref="L135">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35" s="72" t="str" cm="1">
        <f t="array" ref="M135">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35" s="72" t="str" cm="1">
        <f t="array" ref="N135">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35" s="72" t="str" cm="1">
        <f t="array" ref="O135">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35" s="72" t="str" cm="1">
        <f t="array" ref="P135">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35" s="72" t="str" cm="1">
        <f t="array" ref="Q135">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35" s="72" t="str" cm="1">
        <f t="array" ref="R135">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35" s="113"/>
      <c r="T135" s="113"/>
    </row>
    <row r="136" spans="2:20" s="190" customFormat="1" ht="16.5" customHeight="1" x14ac:dyDescent="0.25">
      <c r="B136" s="116" t="s">
        <v>102</v>
      </c>
      <c r="C136" s="124" t="s">
        <v>103</v>
      </c>
      <c r="D136" s="121"/>
      <c r="E136" s="121"/>
      <c r="F136" s="121"/>
      <c r="G136" s="122"/>
      <c r="H136" s="122"/>
      <c r="I136" s="183">
        <f>IF(IF(I132=$I$238,I133,IF(I132=$I$239,I133*I134,IF(I132=$I$240,I133*I134*I135,1)))=0,"Fyll i 2.6-2.8",IF(I132=$I$238,I133,IF(I132=$I$239,I133*I134,IF(I132=$I$240,I133*I134*I135,1))))</f>
        <v>1</v>
      </c>
      <c r="J136" s="183">
        <f t="shared" ref="J136:R136" si="9">IF(IF(J132=$I$238,J133,IF(J132=$I$239,J133*J134,IF(J132=$I$240,J133*J134*J135,1)))=0,"Fyll i 2.6-2.8",IF(J132=$I$238,J133,IF(J132=$I$239,J133*J134,IF(J132=$I$240,J133*J134*J135,1))))</f>
        <v>1</v>
      </c>
      <c r="K136" s="183">
        <f t="shared" si="9"/>
        <v>1</v>
      </c>
      <c r="L136" s="183">
        <f t="shared" si="9"/>
        <v>1</v>
      </c>
      <c r="M136" s="183">
        <f t="shared" si="9"/>
        <v>1</v>
      </c>
      <c r="N136" s="183">
        <f t="shared" si="9"/>
        <v>1</v>
      </c>
      <c r="O136" s="183">
        <f t="shared" si="9"/>
        <v>1</v>
      </c>
      <c r="P136" s="183">
        <f t="shared" si="9"/>
        <v>1</v>
      </c>
      <c r="Q136" s="183">
        <f t="shared" si="9"/>
        <v>1</v>
      </c>
      <c r="R136" s="183">
        <f t="shared" si="9"/>
        <v>1</v>
      </c>
      <c r="S136" s="113"/>
      <c r="T136" s="113"/>
    </row>
    <row r="137" spans="2:20" s="190" customFormat="1" ht="16.5" customHeight="1" x14ac:dyDescent="0.25">
      <c r="B137" s="116" t="s">
        <v>104</v>
      </c>
      <c r="C137" s="120" t="s">
        <v>105</v>
      </c>
      <c r="D137" s="121"/>
      <c r="E137" s="121"/>
      <c r="F137" s="121"/>
      <c r="G137" s="122"/>
      <c r="H137" s="122" t="s">
        <v>106</v>
      </c>
      <c r="I137" s="72"/>
      <c r="J137" s="72"/>
      <c r="K137" s="72"/>
      <c r="L137" s="72"/>
      <c r="M137" s="72"/>
      <c r="N137" s="72"/>
      <c r="O137" s="72"/>
      <c r="P137" s="72"/>
      <c r="Q137" s="72"/>
      <c r="R137" s="72"/>
      <c r="S137" s="113"/>
      <c r="T137" s="113"/>
    </row>
    <row r="138" spans="2:20" s="190" customFormat="1" ht="16.5" customHeight="1" x14ac:dyDescent="0.25">
      <c r="B138" s="116"/>
      <c r="C138" s="123"/>
      <c r="D138" s="123"/>
      <c r="E138" s="123"/>
      <c r="F138" s="123"/>
      <c r="G138" s="123"/>
      <c r="H138" s="123"/>
      <c r="I138" s="197"/>
      <c r="J138" s="197"/>
      <c r="K138" s="197"/>
      <c r="L138" s="197"/>
      <c r="M138" s="197"/>
      <c r="N138" s="197"/>
      <c r="O138" s="197"/>
      <c r="P138" s="197"/>
      <c r="Q138" s="197"/>
      <c r="R138" s="197"/>
      <c r="S138" s="113"/>
      <c r="T138" s="113"/>
    </row>
    <row r="139" spans="2:20" s="190" customFormat="1" ht="16.5" customHeight="1" x14ac:dyDescent="0.25">
      <c r="B139" s="116"/>
      <c r="C139" s="115" t="s">
        <v>115</v>
      </c>
      <c r="D139" s="123"/>
      <c r="E139" s="123"/>
      <c r="F139" s="123"/>
      <c r="G139" s="123"/>
      <c r="H139" s="123"/>
      <c r="I139" s="197"/>
      <c r="J139" s="197"/>
      <c r="K139" s="197"/>
      <c r="L139" s="197"/>
      <c r="M139" s="197"/>
      <c r="N139" s="197"/>
      <c r="O139" s="197"/>
      <c r="P139" s="197"/>
      <c r="Q139" s="197"/>
      <c r="R139" s="197"/>
      <c r="S139" s="113"/>
      <c r="T139" s="113"/>
    </row>
    <row r="140" spans="2:20" s="190" customFormat="1" ht="16.5" customHeight="1" x14ac:dyDescent="0.25">
      <c r="B140" s="116" t="s">
        <v>83</v>
      </c>
      <c r="C140" s="120" t="s">
        <v>84</v>
      </c>
      <c r="D140" s="121"/>
      <c r="E140" s="121"/>
      <c r="F140" s="121"/>
      <c r="G140" s="122"/>
      <c r="H140" s="122" t="s">
        <v>78</v>
      </c>
      <c r="I140" s="72"/>
      <c r="J140" s="72"/>
      <c r="K140" s="72"/>
      <c r="L140" s="72"/>
      <c r="M140" s="72"/>
      <c r="N140" s="72"/>
      <c r="O140" s="72"/>
      <c r="P140" s="72"/>
      <c r="Q140" s="72"/>
      <c r="R140" s="72"/>
      <c r="S140" s="113"/>
      <c r="T140" s="113"/>
    </row>
    <row r="141" spans="2:20" s="190" customFormat="1" ht="16.5" customHeight="1" x14ac:dyDescent="0.25">
      <c r="B141" s="116" t="s">
        <v>85</v>
      </c>
      <c r="C141" s="120" t="s">
        <v>86</v>
      </c>
      <c r="D141" s="121"/>
      <c r="E141" s="121"/>
      <c r="F141" s="121"/>
      <c r="G141" s="122"/>
      <c r="H141" s="122" t="s">
        <v>87</v>
      </c>
      <c r="I141" s="72"/>
      <c r="J141" s="72"/>
      <c r="K141" s="72"/>
      <c r="L141" s="72"/>
      <c r="M141" s="72"/>
      <c r="N141" s="72"/>
      <c r="O141" s="72"/>
      <c r="P141" s="72"/>
      <c r="Q141" s="72"/>
      <c r="R141" s="72"/>
      <c r="S141" s="113"/>
      <c r="T141" s="113"/>
    </row>
    <row r="142" spans="2:20" s="190" customFormat="1" ht="16.5" customHeight="1" x14ac:dyDescent="0.25">
      <c r="B142" s="116" t="s">
        <v>88</v>
      </c>
      <c r="C142" s="120" t="s">
        <v>89</v>
      </c>
      <c r="D142" s="121"/>
      <c r="E142" s="121"/>
      <c r="F142" s="121"/>
      <c r="G142" s="122"/>
      <c r="H142" s="122" t="s">
        <v>87</v>
      </c>
      <c r="I142" s="72"/>
      <c r="J142" s="72"/>
      <c r="K142" s="72"/>
      <c r="L142" s="72"/>
      <c r="M142" s="72"/>
      <c r="N142" s="72"/>
      <c r="O142" s="72"/>
      <c r="P142" s="72"/>
      <c r="Q142" s="72"/>
      <c r="R142" s="72"/>
      <c r="S142" s="113"/>
      <c r="T142" s="113"/>
    </row>
    <row r="143" spans="2:20" s="190" customFormat="1" ht="16.5" customHeight="1" x14ac:dyDescent="0.25">
      <c r="B143" s="116" t="s">
        <v>90</v>
      </c>
      <c r="C143" s="120" t="s">
        <v>91</v>
      </c>
      <c r="D143" s="121"/>
      <c r="E143" s="121"/>
      <c r="F143" s="121"/>
      <c r="G143" s="122"/>
      <c r="H143" s="122" t="s">
        <v>92</v>
      </c>
      <c r="I143" s="72"/>
      <c r="J143" s="72"/>
      <c r="K143" s="72"/>
      <c r="L143" s="72"/>
      <c r="M143" s="72"/>
      <c r="N143" s="72"/>
      <c r="O143" s="72"/>
      <c r="P143" s="72"/>
      <c r="Q143" s="72"/>
      <c r="R143" s="72"/>
      <c r="S143" s="113"/>
      <c r="T143" s="113"/>
    </row>
    <row r="144" spans="2:20" s="198" customFormat="1" ht="30" customHeight="1" x14ac:dyDescent="0.25">
      <c r="B144" s="125" t="s">
        <v>93</v>
      </c>
      <c r="C144" s="120" t="s">
        <v>94</v>
      </c>
      <c r="D144" s="126"/>
      <c r="E144" s="126"/>
      <c r="F144" s="126"/>
      <c r="G144" s="127"/>
      <c r="H144" s="127"/>
      <c r="I144" s="72" t="s">
        <v>95</v>
      </c>
      <c r="J144" s="72" t="s">
        <v>95</v>
      </c>
      <c r="K144" s="72" t="s">
        <v>95</v>
      </c>
      <c r="L144" s="72" t="s">
        <v>95</v>
      </c>
      <c r="M144" s="72" t="s">
        <v>95</v>
      </c>
      <c r="N144" s="72" t="s">
        <v>95</v>
      </c>
      <c r="O144" s="72" t="s">
        <v>95</v>
      </c>
      <c r="P144" s="72" t="s">
        <v>95</v>
      </c>
      <c r="Q144" s="72" t="s">
        <v>95</v>
      </c>
      <c r="R144" s="72" t="s">
        <v>95</v>
      </c>
      <c r="S144" s="113"/>
      <c r="T144" s="113"/>
    </row>
    <row r="145" spans="1:20" s="190" customFormat="1" ht="24.75" x14ac:dyDescent="0.25">
      <c r="B145" s="116" t="s">
        <v>96</v>
      </c>
      <c r="C145" s="120" t="s">
        <v>97</v>
      </c>
      <c r="D145" s="121"/>
      <c r="E145" s="121"/>
      <c r="F145" s="121"/>
      <c r="G145" s="122"/>
      <c r="H145" s="122"/>
      <c r="I145" s="72" t="str" cm="1">
        <f t="array" ref="I145">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45" s="72" t="str" cm="1">
        <f t="array" ref="J145">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45" s="72" t="str" cm="1">
        <f t="array" ref="K145">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45" s="72" t="str" cm="1">
        <f t="array" ref="L145">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45" s="72" t="str" cm="1">
        <f t="array" ref="M145">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45" s="72" t="str" cm="1">
        <f t="array" ref="N145">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45" s="72" t="str" cm="1">
        <f t="array" ref="O145">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45" s="72" t="str" cm="1">
        <f t="array" ref="P145">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45" s="72" t="str" cm="1">
        <f t="array" ref="Q145">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45" s="72" t="str" cm="1">
        <f t="array" ref="R145">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45" s="113"/>
      <c r="T145" s="113"/>
    </row>
    <row r="146" spans="1:20" s="190" customFormat="1" ht="24.75" x14ac:dyDescent="0.25">
      <c r="B146" s="116" t="s">
        <v>98</v>
      </c>
      <c r="C146" s="120" t="s">
        <v>99</v>
      </c>
      <c r="D146" s="121"/>
      <c r="E146" s="121"/>
      <c r="F146" s="121"/>
      <c r="G146" s="122"/>
      <c r="H146" s="122"/>
      <c r="I146" s="72" t="str" cm="1">
        <f t="array" ref="I146">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46" s="72" t="str" cm="1">
        <f t="array" ref="J146">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46" s="72" t="str" cm="1">
        <f t="array" ref="K146">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46" s="72" t="str" cm="1">
        <f t="array" ref="L146">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46" s="72" t="str" cm="1">
        <f t="array" ref="M146">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46" s="72" t="str" cm="1">
        <f t="array" ref="N146">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46" s="72" t="str" cm="1">
        <f t="array" ref="O146">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46" s="72" t="str" cm="1">
        <f t="array" ref="P146">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46" s="72" t="str" cm="1">
        <f t="array" ref="Q146">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46" s="72" t="str" cm="1">
        <f t="array" ref="R146">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46" s="113"/>
      <c r="T146" s="113"/>
    </row>
    <row r="147" spans="1:20" s="190" customFormat="1" ht="24.75" x14ac:dyDescent="0.25">
      <c r="B147" s="116" t="s">
        <v>100</v>
      </c>
      <c r="C147" s="120" t="s">
        <v>101</v>
      </c>
      <c r="D147" s="121"/>
      <c r="E147" s="121"/>
      <c r="F147" s="121"/>
      <c r="G147" s="122"/>
      <c r="H147" s="122"/>
      <c r="I147" s="72" t="str" cm="1">
        <f t="array" ref="I147">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47" s="72" t="str" cm="1">
        <f t="array" ref="J147">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47" s="72" t="str" cm="1">
        <f t="array" ref="K147">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47" s="72" t="str" cm="1">
        <f t="array" ref="L147">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47" s="72" t="str" cm="1">
        <f t="array" ref="M147">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47" s="72" t="str" cm="1">
        <f t="array" ref="N147">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47" s="72" t="str" cm="1">
        <f t="array" ref="O147">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47" s="72" t="str" cm="1">
        <f t="array" ref="P147">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47" s="72" t="str" cm="1">
        <f t="array" ref="Q147">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47" s="72" t="str" cm="1">
        <f t="array" ref="R147">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47" s="113"/>
      <c r="T147" s="113"/>
    </row>
    <row r="148" spans="1:20" s="190" customFormat="1" ht="16.5" customHeight="1" x14ac:dyDescent="0.25">
      <c r="B148" s="116" t="s">
        <v>102</v>
      </c>
      <c r="C148" s="124" t="s">
        <v>103</v>
      </c>
      <c r="D148" s="121"/>
      <c r="E148" s="121"/>
      <c r="F148" s="121"/>
      <c r="G148" s="122"/>
      <c r="H148" s="122"/>
      <c r="I148" s="183">
        <f>IF(IF(I144=$I$238,I145,IF(I144=$I$239,I145*I146,IF(I144=$I$240,I145*I146*I147,1)))=0,"Fyll i 2.6-2.8",IF(I144=$I$238,I145,IF(I144=$I$239,I145*I146,IF(I144=$I$240,I145*I146*I147,1))))</f>
        <v>1</v>
      </c>
      <c r="J148" s="183">
        <f t="shared" ref="J148:R148" si="10">IF(IF(J144=$I$238,J145,IF(J144=$I$239,J145*J146,IF(J144=$I$240,J145*J146*J147,1)))=0,"Fyll i 2.6-2.8",IF(J144=$I$238,J145,IF(J144=$I$239,J145*J146,IF(J144=$I$240,J145*J146*J147,1))))</f>
        <v>1</v>
      </c>
      <c r="K148" s="183">
        <f t="shared" si="10"/>
        <v>1</v>
      </c>
      <c r="L148" s="183">
        <f t="shared" si="10"/>
        <v>1</v>
      </c>
      <c r="M148" s="183">
        <f t="shared" si="10"/>
        <v>1</v>
      </c>
      <c r="N148" s="183">
        <f t="shared" si="10"/>
        <v>1</v>
      </c>
      <c r="O148" s="183">
        <f t="shared" si="10"/>
        <v>1</v>
      </c>
      <c r="P148" s="183">
        <f t="shared" si="10"/>
        <v>1</v>
      </c>
      <c r="Q148" s="183">
        <f t="shared" si="10"/>
        <v>1</v>
      </c>
      <c r="R148" s="183">
        <f t="shared" si="10"/>
        <v>1</v>
      </c>
      <c r="S148" s="113"/>
      <c r="T148" s="113"/>
    </row>
    <row r="149" spans="1:20" s="190" customFormat="1" ht="16.5" customHeight="1" x14ac:dyDescent="0.25">
      <c r="B149" s="116" t="s">
        <v>104</v>
      </c>
      <c r="C149" s="120" t="s">
        <v>105</v>
      </c>
      <c r="D149" s="121"/>
      <c r="E149" s="121"/>
      <c r="F149" s="121"/>
      <c r="G149" s="122"/>
      <c r="H149" s="122" t="s">
        <v>106</v>
      </c>
      <c r="I149" s="72"/>
      <c r="J149" s="72"/>
      <c r="K149" s="72"/>
      <c r="L149" s="72"/>
      <c r="M149" s="72"/>
      <c r="N149" s="72"/>
      <c r="O149" s="72"/>
      <c r="P149" s="72"/>
      <c r="Q149" s="72"/>
      <c r="R149" s="72"/>
      <c r="S149" s="113"/>
      <c r="T149" s="113"/>
    </row>
    <row r="150" spans="1:20" s="190" customFormat="1" ht="16.5" customHeight="1" x14ac:dyDescent="0.25">
      <c r="B150" s="116"/>
      <c r="C150" s="123"/>
      <c r="D150" s="123"/>
      <c r="E150" s="123"/>
      <c r="F150" s="123"/>
      <c r="G150" s="123"/>
      <c r="H150" s="123"/>
      <c r="I150" s="197"/>
      <c r="J150" s="197"/>
      <c r="K150" s="197"/>
      <c r="L150" s="197"/>
      <c r="M150" s="197"/>
      <c r="N150" s="197"/>
      <c r="O150" s="197"/>
      <c r="P150" s="197"/>
      <c r="Q150" s="197"/>
      <c r="R150" s="197"/>
      <c r="S150" s="113"/>
      <c r="T150" s="113"/>
    </row>
    <row r="151" spans="1:20" s="190" customFormat="1" ht="16.5" customHeight="1" x14ac:dyDescent="0.25">
      <c r="B151" s="116"/>
      <c r="C151" s="115" t="s">
        <v>116</v>
      </c>
      <c r="D151" s="123"/>
      <c r="E151" s="123"/>
      <c r="F151" s="123"/>
      <c r="G151" s="123"/>
      <c r="H151" s="123"/>
      <c r="I151" s="197"/>
      <c r="J151" s="197"/>
      <c r="K151" s="197"/>
      <c r="L151" s="197"/>
      <c r="M151" s="197"/>
      <c r="N151" s="197"/>
      <c r="O151" s="197"/>
      <c r="P151" s="197"/>
      <c r="Q151" s="197"/>
      <c r="R151" s="197"/>
      <c r="S151" s="113"/>
      <c r="T151" s="113"/>
    </row>
    <row r="152" spans="1:20" s="190" customFormat="1" ht="16.5" customHeight="1" x14ac:dyDescent="0.25">
      <c r="B152" s="116" t="s">
        <v>117</v>
      </c>
      <c r="C152" s="120" t="s">
        <v>118</v>
      </c>
      <c r="D152" s="121"/>
      <c r="E152" s="121"/>
      <c r="F152" s="121"/>
      <c r="G152" s="122"/>
      <c r="H152" s="122" t="s">
        <v>106</v>
      </c>
      <c r="I152" s="72"/>
      <c r="J152" s="72"/>
      <c r="K152" s="72"/>
      <c r="L152" s="72"/>
      <c r="M152" s="72"/>
      <c r="N152" s="72"/>
      <c r="O152" s="72"/>
      <c r="P152" s="72"/>
      <c r="Q152" s="72"/>
      <c r="R152" s="72"/>
      <c r="S152" s="113"/>
      <c r="T152" s="113"/>
    </row>
    <row r="153" spans="1:20" s="190" customFormat="1" x14ac:dyDescent="0.25">
      <c r="B153" s="128"/>
      <c r="C153" s="129"/>
      <c r="D153" s="129"/>
      <c r="E153" s="129"/>
      <c r="F153" s="129"/>
      <c r="G153" s="129"/>
      <c r="H153" s="129"/>
      <c r="I153" s="199"/>
      <c r="J153" s="199"/>
      <c r="K153" s="199"/>
      <c r="L153" s="199"/>
      <c r="M153" s="199"/>
      <c r="N153" s="199"/>
      <c r="O153" s="199"/>
      <c r="P153" s="199"/>
      <c r="Q153" s="199"/>
      <c r="R153" s="199"/>
      <c r="S153" s="113"/>
      <c r="T153" s="113"/>
    </row>
    <row r="154" spans="1:20" s="190" customFormat="1" ht="29.1" customHeight="1" x14ac:dyDescent="0.25">
      <c r="B154" s="130"/>
      <c r="C154" s="440" t="s">
        <v>119</v>
      </c>
      <c r="D154" s="440"/>
      <c r="E154" s="131"/>
      <c r="F154" s="132"/>
      <c r="G154" s="132"/>
      <c r="H154" s="133"/>
      <c r="I154" s="200"/>
      <c r="J154" s="200"/>
      <c r="K154" s="200"/>
      <c r="L154" s="201"/>
      <c r="M154" s="201"/>
      <c r="N154" s="201"/>
      <c r="O154" s="201"/>
      <c r="P154" s="201"/>
      <c r="Q154" s="201"/>
      <c r="R154" s="201"/>
      <c r="S154" s="201"/>
      <c r="T154" s="201"/>
    </row>
    <row r="155" spans="1:20" s="134" customFormat="1" ht="26.25" hidden="1" customHeight="1" x14ac:dyDescent="0.3">
      <c r="A155" s="202"/>
      <c r="C155" s="135" t="s">
        <v>120</v>
      </c>
      <c r="D155" s="136"/>
      <c r="E155" s="137"/>
      <c r="F155" s="137"/>
      <c r="G155" s="137"/>
      <c r="H155" s="137"/>
      <c r="I155" s="203">
        <f>IF(I233="","",SUMPRODUCT(($I$233:$XFD$233&lt;I233)*($I$233:$XFD$233&lt;&gt;""))+SUMPRODUCT(($I$233:I233=I233)*1))</f>
        <v>1</v>
      </c>
      <c r="J155" s="203" t="str">
        <f>IF(J233="","",SUMPRODUCT(($I$233:$XFD$233&lt;J233)*($I$233:$XFD$233&lt;&gt;""))+SUMPRODUCT(($I$233:J233=J233)*1))</f>
        <v/>
      </c>
      <c r="K155" s="203" t="str">
        <f>IF(K233="","",SUMPRODUCT(($I$233:$XFD$233&lt;K233)*($I$233:$XFD$233&lt;&gt;""))+SUMPRODUCT(($I$233:K233=K233)*1))</f>
        <v/>
      </c>
      <c r="L155" s="203" t="str">
        <f>IF(L233="","",SUMPRODUCT(($I$233:$XFD$233&lt;L233)*($I$233:$XFD$233&lt;&gt;""))+SUMPRODUCT(($I$233:L233=L233)*1))</f>
        <v/>
      </c>
      <c r="M155" s="203" t="str">
        <f>IF(M233="","",SUMPRODUCT(($I$233:$XFD$233&lt;M233)*($I$233:$XFD$233&lt;&gt;""))+SUMPRODUCT(($I$233:M233=M233)*1))</f>
        <v/>
      </c>
      <c r="N155" s="203" t="str">
        <f>IF(N233="","",SUMPRODUCT(($I$233:$XFD$233&lt;N233)*($I$233:$XFD$233&lt;&gt;""))+SUMPRODUCT(($I$233:N233=N233)*1))</f>
        <v/>
      </c>
      <c r="O155" s="203" t="str">
        <f>IF(O233="","",SUMPRODUCT(($I$233:$XFD$233&lt;O233)*($I$233:$XFD$233&lt;&gt;""))+SUMPRODUCT(($I$233:O233=O233)*1))</f>
        <v/>
      </c>
      <c r="P155" s="203" t="str">
        <f>IF(P233="","",SUMPRODUCT(($I$233:$XFD$233&lt;P233)*($I$233:$XFD$233&lt;&gt;""))+SUMPRODUCT(($I$233:P233=P233)*1))</f>
        <v/>
      </c>
      <c r="Q155" s="203" t="str">
        <f>IF(Q233="","",SUMPRODUCT(($I$233:$XFD$233&lt;Q233)*($I$233:$XFD$233&lt;&gt;""))+SUMPRODUCT(($I$233:Q233=Q233)*1))</f>
        <v/>
      </c>
      <c r="R155" s="203" t="str">
        <f>IF(R233="","",SUMPRODUCT(($I$233:$XFD$233&lt;R233)*($I$233:$XFD$233&lt;&gt;""))+SUMPRODUCT(($I$233:R233=R233)*1))</f>
        <v/>
      </c>
      <c r="S155" s="113"/>
      <c r="T155" s="113"/>
    </row>
    <row r="156" spans="1:20" s="190" customFormat="1" ht="16.5" customHeight="1" x14ac:dyDescent="0.25">
      <c r="B156" s="138"/>
      <c r="C156" s="442"/>
      <c r="D156" s="442"/>
      <c r="E156" s="442"/>
      <c r="F156" s="442"/>
      <c r="G156" s="442"/>
      <c r="H156" s="139"/>
      <c r="I156" s="204" t="str">
        <f>I167</f>
        <v>Byggnadstyp 1</v>
      </c>
      <c r="J156" s="204" t="str">
        <f t="shared" ref="J156" si="11">J167</f>
        <v>Byggnadstyp 2</v>
      </c>
      <c r="K156" s="204" t="str">
        <f t="shared" ref="K156" si="12">K167</f>
        <v>Byggnadstyp 3</v>
      </c>
      <c r="L156" s="204" t="str">
        <f t="shared" ref="L156:M156" si="13">L167</f>
        <v>Byggnadstyp 4</v>
      </c>
      <c r="M156" s="204" t="str">
        <f t="shared" si="13"/>
        <v>Byggnadstyp 5</v>
      </c>
      <c r="N156" s="204" t="str">
        <f t="shared" ref="N156:O156" si="14">N167</f>
        <v>Byggnadstyp 6</v>
      </c>
      <c r="O156" s="204" t="str">
        <f t="shared" si="14"/>
        <v>Byggnadstyp 7</v>
      </c>
      <c r="P156" s="204" t="str">
        <f t="shared" ref="P156:R156" si="15">P167</f>
        <v>Byggnadstyp 8</v>
      </c>
      <c r="Q156" s="204" t="str">
        <f t="shared" si="15"/>
        <v>Byggnadstyp 9</v>
      </c>
      <c r="R156" s="204" t="str">
        <f t="shared" si="15"/>
        <v>Byggnadstyp 10</v>
      </c>
      <c r="S156" s="113"/>
      <c r="T156" s="113"/>
    </row>
    <row r="157" spans="1:20" s="190" customFormat="1" ht="20.100000000000001" customHeight="1" x14ac:dyDescent="0.25">
      <c r="B157" s="140" t="s">
        <v>121</v>
      </c>
      <c r="C157" s="141" t="s">
        <v>122</v>
      </c>
      <c r="D157" s="141"/>
      <c r="E157" s="141"/>
      <c r="F157" s="141"/>
      <c r="G157" s="141"/>
      <c r="H157" s="142" t="s">
        <v>123</v>
      </c>
      <c r="I157" s="205">
        <f>I180+I199*$I$201+I215*$I$217</f>
        <v>0</v>
      </c>
      <c r="J157" s="205">
        <f t="shared" ref="J157:N157" si="16">J180+J199*$I$201+J215*$I$217</f>
        <v>0</v>
      </c>
      <c r="K157" s="205">
        <f t="shared" si="16"/>
        <v>0</v>
      </c>
      <c r="L157" s="205">
        <f t="shared" si="16"/>
        <v>0</v>
      </c>
      <c r="M157" s="205">
        <f t="shared" si="16"/>
        <v>0</v>
      </c>
      <c r="N157" s="205">
        <f t="shared" si="16"/>
        <v>0</v>
      </c>
      <c r="O157" s="205">
        <f t="shared" ref="O157:R157" si="17">O180+O199*$I$201+O215*$I$217</f>
        <v>0</v>
      </c>
      <c r="P157" s="205">
        <f t="shared" si="17"/>
        <v>0</v>
      </c>
      <c r="Q157" s="205">
        <f t="shared" si="17"/>
        <v>0</v>
      </c>
      <c r="R157" s="205">
        <f t="shared" si="17"/>
        <v>0</v>
      </c>
      <c r="S157" s="113"/>
      <c r="T157" s="113"/>
    </row>
    <row r="158" spans="1:20" s="190" customFormat="1" ht="20.100000000000001" customHeight="1" x14ac:dyDescent="0.25">
      <c r="B158" s="140" t="s">
        <v>124</v>
      </c>
      <c r="C158" s="141" t="s">
        <v>125</v>
      </c>
      <c r="D158" s="141"/>
      <c r="E158" s="141"/>
      <c r="F158" s="141"/>
      <c r="G158" s="141"/>
      <c r="H158" s="142" t="s">
        <v>126</v>
      </c>
      <c r="I158" s="205" t="e">
        <f>I221</f>
        <v>#DIV/0!</v>
      </c>
      <c r="J158" s="205" t="e">
        <f>J221</f>
        <v>#DIV/0!</v>
      </c>
      <c r="K158" s="205" t="e">
        <f t="shared" ref="K158:R158" si="18">K221</f>
        <v>#DIV/0!</v>
      </c>
      <c r="L158" s="205" t="e">
        <f t="shared" si="18"/>
        <v>#DIV/0!</v>
      </c>
      <c r="M158" s="205" t="e">
        <f t="shared" si="18"/>
        <v>#DIV/0!</v>
      </c>
      <c r="N158" s="205" t="e">
        <f t="shared" si="18"/>
        <v>#DIV/0!</v>
      </c>
      <c r="O158" s="205" t="e">
        <f t="shared" si="18"/>
        <v>#DIV/0!</v>
      </c>
      <c r="P158" s="205" t="e">
        <f t="shared" si="18"/>
        <v>#DIV/0!</v>
      </c>
      <c r="Q158" s="205" t="e">
        <f t="shared" si="18"/>
        <v>#DIV/0!</v>
      </c>
      <c r="R158" s="205" t="e">
        <f t="shared" si="18"/>
        <v>#DIV/0!</v>
      </c>
      <c r="S158" s="113"/>
      <c r="T158" s="113"/>
    </row>
    <row r="159" spans="1:20" s="190" customFormat="1" ht="30" customHeight="1" x14ac:dyDescent="0.25">
      <c r="B159" s="128"/>
      <c r="C159" s="143" t="s">
        <v>127</v>
      </c>
      <c r="D159" s="144"/>
      <c r="E159" s="144"/>
      <c r="F159" s="144"/>
      <c r="G159" s="144"/>
      <c r="H159" s="142"/>
      <c r="I159" s="206"/>
      <c r="J159" s="206"/>
      <c r="K159" s="206"/>
      <c r="L159" s="206"/>
      <c r="M159" s="206"/>
      <c r="N159" s="206"/>
      <c r="O159" s="206"/>
      <c r="P159" s="206"/>
      <c r="Q159" s="206"/>
      <c r="R159" s="206"/>
      <c r="S159" s="113"/>
      <c r="T159" s="113"/>
    </row>
    <row r="160" spans="1:20" s="190" customFormat="1" ht="20.100000000000001" customHeight="1" x14ac:dyDescent="0.25">
      <c r="B160" s="128" t="s">
        <v>128</v>
      </c>
      <c r="C160" s="443" t="s">
        <v>129</v>
      </c>
      <c r="D160" s="443"/>
      <c r="E160" s="443"/>
      <c r="F160" s="443"/>
      <c r="G160" s="443"/>
      <c r="H160" s="142" t="s">
        <v>123</v>
      </c>
      <c r="I160" s="206">
        <f>I181+I202+I218</f>
        <v>0</v>
      </c>
      <c r="J160" s="206"/>
      <c r="K160" s="206"/>
      <c r="L160" s="206"/>
      <c r="M160" s="206"/>
      <c r="N160" s="206"/>
      <c r="O160" s="206"/>
      <c r="P160" s="206"/>
      <c r="Q160" s="206"/>
      <c r="R160" s="206"/>
      <c r="S160" s="113"/>
      <c r="T160" s="113"/>
    </row>
    <row r="161" spans="2:20" s="190" customFormat="1" ht="20.100000000000001" customHeight="1" x14ac:dyDescent="0.25">
      <c r="B161" s="128" t="s">
        <v>130</v>
      </c>
      <c r="C161" s="145" t="s">
        <v>131</v>
      </c>
      <c r="D161" s="144"/>
      <c r="E161" s="144"/>
      <c r="F161" s="144"/>
      <c r="G161" s="144"/>
      <c r="H161" s="142" t="s">
        <v>123</v>
      </c>
      <c r="I161" s="206">
        <f>I200</f>
        <v>0</v>
      </c>
      <c r="J161" s="206"/>
      <c r="K161" s="206"/>
      <c r="L161" s="206"/>
      <c r="M161" s="206"/>
      <c r="N161" s="206"/>
      <c r="O161" s="206"/>
      <c r="P161" s="206"/>
      <c r="Q161" s="206"/>
      <c r="R161" s="206"/>
      <c r="S161" s="113"/>
      <c r="T161" s="113"/>
    </row>
    <row r="162" spans="2:20" s="190" customFormat="1" ht="20.100000000000001" customHeight="1" x14ac:dyDescent="0.25">
      <c r="B162" s="128" t="s">
        <v>132</v>
      </c>
      <c r="C162" s="145" t="s">
        <v>133</v>
      </c>
      <c r="D162" s="144"/>
      <c r="E162" s="144"/>
      <c r="F162" s="144"/>
      <c r="G162" s="144"/>
      <c r="H162" s="142" t="s">
        <v>123</v>
      </c>
      <c r="I162" s="206">
        <f>I202</f>
        <v>0</v>
      </c>
      <c r="J162" s="206"/>
      <c r="K162" s="206"/>
      <c r="L162" s="206"/>
      <c r="M162" s="206"/>
      <c r="N162" s="206"/>
      <c r="O162" s="206"/>
      <c r="P162" s="206"/>
      <c r="Q162" s="206"/>
      <c r="R162" s="206"/>
      <c r="S162" s="113"/>
      <c r="T162" s="113"/>
    </row>
    <row r="163" spans="2:20" s="190" customFormat="1" ht="20.100000000000001" customHeight="1" x14ac:dyDescent="0.25">
      <c r="B163" s="128" t="s">
        <v>134</v>
      </c>
      <c r="C163" s="443" t="s">
        <v>135</v>
      </c>
      <c r="D163" s="443"/>
      <c r="E163" s="443"/>
      <c r="F163" s="443"/>
      <c r="G163" s="443"/>
      <c r="H163" s="142" t="s">
        <v>136</v>
      </c>
      <c r="I163" s="206">
        <f>SUM(I220:XFD220)</f>
        <v>0</v>
      </c>
      <c r="J163" s="206"/>
      <c r="K163" s="206"/>
      <c r="L163" s="206"/>
      <c r="M163" s="206"/>
      <c r="N163" s="206"/>
      <c r="O163" s="206"/>
      <c r="P163" s="206"/>
      <c r="Q163" s="206"/>
      <c r="R163" s="206"/>
      <c r="S163" s="113"/>
      <c r="T163" s="113"/>
    </row>
    <row r="164" spans="2:20" s="190" customFormat="1" ht="20.100000000000001" customHeight="1" x14ac:dyDescent="0.25">
      <c r="B164" s="128"/>
      <c r="C164" s="144"/>
      <c r="D164" s="144"/>
      <c r="E164" s="144"/>
      <c r="F164" s="144"/>
      <c r="G164" s="144"/>
      <c r="H164" s="142"/>
      <c r="I164" s="206"/>
      <c r="J164" s="206"/>
      <c r="K164" s="206"/>
      <c r="L164" s="206"/>
      <c r="M164" s="206"/>
      <c r="N164" s="206"/>
      <c r="O164" s="206"/>
      <c r="P164" s="206"/>
      <c r="Q164" s="206"/>
      <c r="R164" s="206"/>
      <c r="S164" s="113"/>
      <c r="T164" s="113"/>
    </row>
    <row r="165" spans="2:20" s="190" customFormat="1" ht="16.5" customHeight="1" x14ac:dyDescent="0.25">
      <c r="B165" s="138"/>
      <c r="C165" s="442"/>
      <c r="D165" s="442"/>
      <c r="E165" s="442"/>
      <c r="F165" s="442"/>
      <c r="G165" s="442"/>
      <c r="H165" s="139"/>
      <c r="I165" s="138"/>
      <c r="J165" s="199"/>
      <c r="K165" s="199"/>
      <c r="L165" s="199"/>
      <c r="M165" s="199"/>
      <c r="N165" s="199"/>
      <c r="O165" s="199"/>
      <c r="P165" s="199"/>
      <c r="Q165" s="199"/>
      <c r="R165" s="199"/>
      <c r="S165" s="113"/>
      <c r="T165" s="113"/>
    </row>
    <row r="166" spans="2:20" s="202" customFormat="1" ht="26.25" customHeight="1" x14ac:dyDescent="0.3">
      <c r="B166" s="146"/>
      <c r="C166" s="147" t="s">
        <v>137</v>
      </c>
      <c r="D166" s="146"/>
      <c r="E166" s="148"/>
      <c r="F166" s="146"/>
      <c r="G166" s="146"/>
      <c r="H166" s="146"/>
      <c r="I166" s="146"/>
      <c r="J166" s="146"/>
      <c r="K166" s="146"/>
      <c r="L166" s="146"/>
      <c r="M166" s="146"/>
      <c r="N166" s="146"/>
      <c r="O166" s="146"/>
      <c r="P166" s="146"/>
      <c r="Q166" s="146"/>
      <c r="R166" s="146"/>
      <c r="S166" s="146"/>
      <c r="T166" s="146"/>
    </row>
    <row r="167" spans="2:20" s="209" customFormat="1" ht="24" customHeight="1" x14ac:dyDescent="0.35">
      <c r="B167" s="149"/>
      <c r="C167" s="441"/>
      <c r="D167" s="441"/>
      <c r="E167" s="441"/>
      <c r="F167" s="441"/>
      <c r="G167" s="441"/>
      <c r="H167" s="151"/>
      <c r="I167" s="207" t="str">
        <f t="shared" ref="I167:N167" si="19">I25</f>
        <v>Byggnadstyp 1</v>
      </c>
      <c r="J167" s="207" t="str">
        <f t="shared" si="19"/>
        <v>Byggnadstyp 2</v>
      </c>
      <c r="K167" s="207" t="str">
        <f t="shared" si="19"/>
        <v>Byggnadstyp 3</v>
      </c>
      <c r="L167" s="208" t="str">
        <f t="shared" si="19"/>
        <v>Byggnadstyp 4</v>
      </c>
      <c r="M167" s="208" t="str">
        <f t="shared" si="19"/>
        <v>Byggnadstyp 5</v>
      </c>
      <c r="N167" s="208" t="str">
        <f t="shared" si="19"/>
        <v>Byggnadstyp 6</v>
      </c>
      <c r="O167" s="208" t="str">
        <f t="shared" ref="O167:R167" si="20">O25</f>
        <v>Byggnadstyp 7</v>
      </c>
      <c r="P167" s="208" t="str">
        <f t="shared" si="20"/>
        <v>Byggnadstyp 8</v>
      </c>
      <c r="Q167" s="208" t="str">
        <f t="shared" si="20"/>
        <v>Byggnadstyp 9</v>
      </c>
      <c r="R167" s="208" t="str">
        <f t="shared" si="20"/>
        <v>Byggnadstyp 10</v>
      </c>
      <c r="S167" s="113"/>
      <c r="T167" s="113"/>
    </row>
    <row r="168" spans="2:20" ht="12.75" x14ac:dyDescent="0.2">
      <c r="B168" s="152"/>
      <c r="C168" s="444" t="s">
        <v>138</v>
      </c>
      <c r="D168" s="444"/>
      <c r="E168" s="444"/>
      <c r="F168" s="444"/>
      <c r="G168" s="444"/>
      <c r="H168" s="152"/>
      <c r="I168" s="210"/>
      <c r="J168" s="210"/>
      <c r="K168" s="210"/>
      <c r="L168" s="211"/>
      <c r="M168" s="211"/>
      <c r="N168" s="211"/>
      <c r="O168" s="211"/>
      <c r="P168" s="211"/>
      <c r="Q168" s="211"/>
      <c r="R168" s="211"/>
      <c r="S168" s="212"/>
      <c r="T168" s="212"/>
    </row>
    <row r="169" spans="2:20" x14ac:dyDescent="0.25">
      <c r="B169" s="153"/>
      <c r="C169" s="439" t="s">
        <v>139</v>
      </c>
      <c r="D169" s="439"/>
      <c r="E169" s="439"/>
      <c r="F169" s="439"/>
      <c r="G169" s="439"/>
      <c r="H169" s="151"/>
      <c r="I169" s="150"/>
      <c r="J169" s="150"/>
      <c r="K169" s="150"/>
      <c r="L169" s="150"/>
      <c r="M169" s="150"/>
      <c r="N169" s="150"/>
      <c r="O169" s="150"/>
      <c r="P169" s="150"/>
      <c r="Q169" s="150"/>
      <c r="R169" s="150"/>
      <c r="S169" s="113"/>
      <c r="T169" s="113"/>
    </row>
    <row r="170" spans="2:20" x14ac:dyDescent="0.25">
      <c r="B170" s="153"/>
      <c r="C170" s="424" t="s">
        <v>140</v>
      </c>
      <c r="D170" s="424"/>
      <c r="E170" s="424"/>
      <c r="F170" s="424"/>
      <c r="G170" s="424"/>
      <c r="H170" s="149" t="s">
        <v>123</v>
      </c>
      <c r="I170" s="213">
        <f>I$28*(I32*(I33+I34))</f>
        <v>0</v>
      </c>
      <c r="J170" s="213">
        <f>J$28*(J32*(J33+J34))</f>
        <v>0</v>
      </c>
      <c r="K170" s="213">
        <f t="shared" ref="K170:M170" si="21">K$28*(K32*(K33+K34))</f>
        <v>0</v>
      </c>
      <c r="L170" s="213">
        <f t="shared" si="21"/>
        <v>0</v>
      </c>
      <c r="M170" s="213">
        <f t="shared" si="21"/>
        <v>0</v>
      </c>
      <c r="N170" s="213">
        <f t="shared" ref="N170:O170" si="22">N$28*(N32*(N33+N34))</f>
        <v>0</v>
      </c>
      <c r="O170" s="213">
        <f t="shared" si="22"/>
        <v>0</v>
      </c>
      <c r="P170" s="213">
        <f t="shared" ref="P170:R170" si="23">P$28*(P32*(P33+P34))</f>
        <v>0</v>
      </c>
      <c r="Q170" s="213">
        <f t="shared" si="23"/>
        <v>0</v>
      </c>
      <c r="R170" s="213">
        <f t="shared" si="23"/>
        <v>0</v>
      </c>
      <c r="S170" s="113"/>
      <c r="T170" s="113"/>
    </row>
    <row r="171" spans="2:20" x14ac:dyDescent="0.25">
      <c r="B171" s="153"/>
      <c r="C171" s="424" t="s">
        <v>141</v>
      </c>
      <c r="D171" s="424"/>
      <c r="E171" s="424"/>
      <c r="F171" s="424"/>
      <c r="G171" s="424"/>
      <c r="H171" s="149" t="s">
        <v>123</v>
      </c>
      <c r="I171" s="213">
        <f>I$28*(I44*(I45+I46))</f>
        <v>0</v>
      </c>
      <c r="J171" s="213">
        <f>J$28*(J44*(J45+J46))</f>
        <v>0</v>
      </c>
      <c r="K171" s="213">
        <f t="shared" ref="K171:M171" si="24">K$28*(K44*(K45+K46))</f>
        <v>0</v>
      </c>
      <c r="L171" s="213">
        <f t="shared" si="24"/>
        <v>0</v>
      </c>
      <c r="M171" s="213">
        <f t="shared" si="24"/>
        <v>0</v>
      </c>
      <c r="N171" s="213">
        <f t="shared" ref="N171:O171" si="25">N$28*(N44*(N45+N46))</f>
        <v>0</v>
      </c>
      <c r="O171" s="213">
        <f t="shared" si="25"/>
        <v>0</v>
      </c>
      <c r="P171" s="213">
        <f t="shared" ref="P171:R171" si="26">P$28*(P44*(P45+P46))</f>
        <v>0</v>
      </c>
      <c r="Q171" s="213">
        <f t="shared" si="26"/>
        <v>0</v>
      </c>
      <c r="R171" s="213">
        <f t="shared" si="26"/>
        <v>0</v>
      </c>
      <c r="S171" s="113"/>
      <c r="T171" s="113"/>
    </row>
    <row r="172" spans="2:20" x14ac:dyDescent="0.25">
      <c r="B172" s="153"/>
      <c r="C172" s="424" t="s">
        <v>142</v>
      </c>
      <c r="D172" s="424"/>
      <c r="E172" s="424"/>
      <c r="F172" s="424"/>
      <c r="G172" s="424"/>
      <c r="H172" s="149" t="s">
        <v>123</v>
      </c>
      <c r="I172" s="213">
        <f>I$28*(I56*(I57+I58))</f>
        <v>0</v>
      </c>
      <c r="J172" s="213">
        <f>J$28*(J56*(J57+J58))</f>
        <v>0</v>
      </c>
      <c r="K172" s="213">
        <f t="shared" ref="K172:M172" si="27">K$28*(K56*(K57+K58))</f>
        <v>0</v>
      </c>
      <c r="L172" s="213">
        <f t="shared" si="27"/>
        <v>0</v>
      </c>
      <c r="M172" s="213">
        <f t="shared" si="27"/>
        <v>0</v>
      </c>
      <c r="N172" s="213">
        <f t="shared" ref="N172:O172" si="28">N$28*(N56*(N57+N58))</f>
        <v>0</v>
      </c>
      <c r="O172" s="213">
        <f t="shared" si="28"/>
        <v>0</v>
      </c>
      <c r="P172" s="213">
        <f t="shared" ref="P172:R172" si="29">P$28*(P56*(P57+P58))</f>
        <v>0</v>
      </c>
      <c r="Q172" s="213">
        <f t="shared" si="29"/>
        <v>0</v>
      </c>
      <c r="R172" s="213">
        <f t="shared" si="29"/>
        <v>0</v>
      </c>
      <c r="S172" s="113"/>
      <c r="T172" s="113"/>
    </row>
    <row r="173" spans="2:20" x14ac:dyDescent="0.25">
      <c r="B173" s="153"/>
      <c r="C173" s="424" t="s">
        <v>143</v>
      </c>
      <c r="D173" s="424"/>
      <c r="E173" s="424"/>
      <c r="F173" s="424"/>
      <c r="G173" s="424"/>
      <c r="H173" s="149" t="s">
        <v>123</v>
      </c>
      <c r="I173" s="213">
        <f>I$28*(I68*(I69+I70))</f>
        <v>0</v>
      </c>
      <c r="J173" s="213">
        <f>J$28*(J68*(J69+J70))</f>
        <v>0</v>
      </c>
      <c r="K173" s="213">
        <f t="shared" ref="K173:M173" si="30">K$28*(K68*(K69+K70))</f>
        <v>0</v>
      </c>
      <c r="L173" s="213">
        <f t="shared" si="30"/>
        <v>0</v>
      </c>
      <c r="M173" s="213">
        <f t="shared" si="30"/>
        <v>0</v>
      </c>
      <c r="N173" s="213">
        <f t="shared" ref="N173:O173" si="31">N$28*(N68*(N69+N70))</f>
        <v>0</v>
      </c>
      <c r="O173" s="213">
        <f t="shared" si="31"/>
        <v>0</v>
      </c>
      <c r="P173" s="213">
        <f t="shared" ref="P173:R173" si="32">P$28*(P68*(P69+P70))</f>
        <v>0</v>
      </c>
      <c r="Q173" s="213">
        <f t="shared" si="32"/>
        <v>0</v>
      </c>
      <c r="R173" s="213">
        <f t="shared" si="32"/>
        <v>0</v>
      </c>
      <c r="S173" s="113"/>
      <c r="T173" s="113"/>
    </row>
    <row r="174" spans="2:20" x14ac:dyDescent="0.25">
      <c r="B174" s="153"/>
      <c r="C174" s="424" t="s">
        <v>144</v>
      </c>
      <c r="D174" s="424"/>
      <c r="E174" s="424"/>
      <c r="F174" s="424"/>
      <c r="G174" s="424"/>
      <c r="H174" s="149" t="s">
        <v>123</v>
      </c>
      <c r="I174" s="213">
        <f>I$28*(I80*(I81+I82))</f>
        <v>0</v>
      </c>
      <c r="J174" s="213">
        <f>J$28*(J80*(J81+J82))</f>
        <v>0</v>
      </c>
      <c r="K174" s="213">
        <f t="shared" ref="K174:M174" si="33">K$28*(K80*(K81+K82))</f>
        <v>0</v>
      </c>
      <c r="L174" s="213">
        <f t="shared" si="33"/>
        <v>0</v>
      </c>
      <c r="M174" s="213">
        <f t="shared" si="33"/>
        <v>0</v>
      </c>
      <c r="N174" s="213">
        <f t="shared" ref="N174:O174" si="34">N$28*(N80*(N81+N82))</f>
        <v>0</v>
      </c>
      <c r="O174" s="213">
        <f t="shared" si="34"/>
        <v>0</v>
      </c>
      <c r="P174" s="213">
        <f t="shared" ref="P174:R174" si="35">P$28*(P80*(P81+P82))</f>
        <v>0</v>
      </c>
      <c r="Q174" s="213">
        <f t="shared" si="35"/>
        <v>0</v>
      </c>
      <c r="R174" s="213">
        <f t="shared" si="35"/>
        <v>0</v>
      </c>
      <c r="S174" s="113"/>
      <c r="T174" s="113"/>
    </row>
    <row r="175" spans="2:20" x14ac:dyDescent="0.25">
      <c r="B175" s="153"/>
      <c r="C175" s="424" t="s">
        <v>145</v>
      </c>
      <c r="D175" s="424"/>
      <c r="E175" s="424"/>
      <c r="F175" s="424"/>
      <c r="G175" s="424"/>
      <c r="H175" s="149" t="s">
        <v>123</v>
      </c>
      <c r="I175" s="213">
        <f>I$28*(I92*(I93+I94))</f>
        <v>0</v>
      </c>
      <c r="J175" s="213">
        <f>J$28*(J92*(J93+J94))</f>
        <v>0</v>
      </c>
      <c r="K175" s="213">
        <f t="shared" ref="K175:M175" si="36">K$28*(K92*(K93+K94))</f>
        <v>0</v>
      </c>
      <c r="L175" s="213">
        <f t="shared" si="36"/>
        <v>0</v>
      </c>
      <c r="M175" s="213">
        <f t="shared" si="36"/>
        <v>0</v>
      </c>
      <c r="N175" s="213">
        <f t="shared" ref="N175:O175" si="37">N$28*(N92*(N93+N94))</f>
        <v>0</v>
      </c>
      <c r="O175" s="213">
        <f t="shared" si="37"/>
        <v>0</v>
      </c>
      <c r="P175" s="213">
        <f t="shared" ref="P175:R175" si="38">P$28*(P92*(P93+P94))</f>
        <v>0</v>
      </c>
      <c r="Q175" s="213">
        <f t="shared" si="38"/>
        <v>0</v>
      </c>
      <c r="R175" s="213">
        <f t="shared" si="38"/>
        <v>0</v>
      </c>
      <c r="S175" s="113"/>
      <c r="T175" s="113"/>
    </row>
    <row r="176" spans="2:20" x14ac:dyDescent="0.25">
      <c r="B176" s="153"/>
      <c r="C176" s="424" t="s">
        <v>146</v>
      </c>
      <c r="D176" s="424"/>
      <c r="E176" s="424"/>
      <c r="F176" s="424"/>
      <c r="G176" s="424"/>
      <c r="H176" s="149" t="s">
        <v>123</v>
      </c>
      <c r="I176" s="213">
        <f>I$28*(I104*(I105+I106))</f>
        <v>0</v>
      </c>
      <c r="J176" s="213">
        <f>J$28*(J104*(J105+J106))</f>
        <v>0</v>
      </c>
      <c r="K176" s="213">
        <f t="shared" ref="K176:M176" si="39">K$28*(K104*(K105+K106))</f>
        <v>0</v>
      </c>
      <c r="L176" s="213">
        <f t="shared" si="39"/>
        <v>0</v>
      </c>
      <c r="M176" s="213">
        <f t="shared" si="39"/>
        <v>0</v>
      </c>
      <c r="N176" s="213">
        <f t="shared" ref="N176:O176" si="40">N$28*(N104*(N105+N106))</f>
        <v>0</v>
      </c>
      <c r="O176" s="213">
        <f t="shared" si="40"/>
        <v>0</v>
      </c>
      <c r="P176" s="213">
        <f t="shared" ref="P176:R176" si="41">P$28*(P104*(P105+P106))</f>
        <v>0</v>
      </c>
      <c r="Q176" s="213">
        <f t="shared" si="41"/>
        <v>0</v>
      </c>
      <c r="R176" s="213">
        <f t="shared" si="41"/>
        <v>0</v>
      </c>
      <c r="S176" s="113"/>
      <c r="T176" s="113"/>
    </row>
    <row r="177" spans="2:20" x14ac:dyDescent="0.25">
      <c r="B177" s="153"/>
      <c r="C177" s="424" t="s">
        <v>147</v>
      </c>
      <c r="D177" s="424"/>
      <c r="E177" s="424"/>
      <c r="F177" s="424"/>
      <c r="G177" s="424"/>
      <c r="H177" s="149" t="s">
        <v>123</v>
      </c>
      <c r="I177" s="213">
        <f>I$28*(I116*(I117+I118))</f>
        <v>0</v>
      </c>
      <c r="J177" s="213">
        <f>J$28*(J116*(J117+J118))</f>
        <v>0</v>
      </c>
      <c r="K177" s="213">
        <f t="shared" ref="K177:M177" si="42">K$28*(K116*(K117+K118))</f>
        <v>0</v>
      </c>
      <c r="L177" s="213">
        <f t="shared" si="42"/>
        <v>0</v>
      </c>
      <c r="M177" s="213">
        <f t="shared" si="42"/>
        <v>0</v>
      </c>
      <c r="N177" s="213">
        <f t="shared" ref="N177:O177" si="43">N$28*(N116*(N117+N118))</f>
        <v>0</v>
      </c>
      <c r="O177" s="213">
        <f t="shared" si="43"/>
        <v>0</v>
      </c>
      <c r="P177" s="213">
        <f t="shared" ref="P177:R177" si="44">P$28*(P116*(P117+P118))</f>
        <v>0</v>
      </c>
      <c r="Q177" s="213">
        <f t="shared" si="44"/>
        <v>0</v>
      </c>
      <c r="R177" s="213">
        <f t="shared" si="44"/>
        <v>0</v>
      </c>
      <c r="S177" s="113"/>
      <c r="T177" s="113"/>
    </row>
    <row r="178" spans="2:20" x14ac:dyDescent="0.25">
      <c r="B178" s="153"/>
      <c r="C178" s="424" t="s">
        <v>148</v>
      </c>
      <c r="D178" s="424"/>
      <c r="E178" s="424"/>
      <c r="F178" s="424"/>
      <c r="G178" s="424"/>
      <c r="H178" s="149" t="s">
        <v>123</v>
      </c>
      <c r="I178" s="213">
        <f>I$28*(I128*(I129+I130))</f>
        <v>0</v>
      </c>
      <c r="J178" s="213">
        <f>J$28*(J128*(J129+J130))</f>
        <v>0</v>
      </c>
      <c r="K178" s="213">
        <f t="shared" ref="K178:M178" si="45">K$28*(K128*(K129+K130))</f>
        <v>0</v>
      </c>
      <c r="L178" s="213">
        <f t="shared" si="45"/>
        <v>0</v>
      </c>
      <c r="M178" s="213">
        <f t="shared" si="45"/>
        <v>0</v>
      </c>
      <c r="N178" s="213">
        <f t="shared" ref="N178:O178" si="46">N$28*(N128*(N129+N130))</f>
        <v>0</v>
      </c>
      <c r="O178" s="213">
        <f t="shared" si="46"/>
        <v>0</v>
      </c>
      <c r="P178" s="213">
        <f t="shared" ref="P178:R178" si="47">P$28*(P128*(P129+P130))</f>
        <v>0</v>
      </c>
      <c r="Q178" s="213">
        <f t="shared" si="47"/>
        <v>0</v>
      </c>
      <c r="R178" s="213">
        <f t="shared" si="47"/>
        <v>0</v>
      </c>
      <c r="S178" s="113"/>
      <c r="T178" s="113"/>
    </row>
    <row r="179" spans="2:20" x14ac:dyDescent="0.25">
      <c r="B179" s="153"/>
      <c r="C179" s="424" t="s">
        <v>149</v>
      </c>
      <c r="D179" s="424"/>
      <c r="E179" s="424"/>
      <c r="F179" s="424"/>
      <c r="G179" s="424"/>
      <c r="H179" s="149" t="s">
        <v>123</v>
      </c>
      <c r="I179" s="213">
        <f>I$28*(I140*(I141+I142))</f>
        <v>0</v>
      </c>
      <c r="J179" s="213">
        <f>J$28*(J140*(J141+J142))</f>
        <v>0</v>
      </c>
      <c r="K179" s="213">
        <f t="shared" ref="K179:M179" si="48">K$28*(K140*(K141+K142))</f>
        <v>0</v>
      </c>
      <c r="L179" s="213">
        <f t="shared" si="48"/>
        <v>0</v>
      </c>
      <c r="M179" s="213">
        <f t="shared" si="48"/>
        <v>0</v>
      </c>
      <c r="N179" s="213">
        <f t="shared" ref="N179:O179" si="49">N$28*(N140*(N141+N142))</f>
        <v>0</v>
      </c>
      <c r="O179" s="213">
        <f t="shared" si="49"/>
        <v>0</v>
      </c>
      <c r="P179" s="213">
        <f t="shared" ref="P179:R179" si="50">P$28*(P140*(P141+P142))</f>
        <v>0</v>
      </c>
      <c r="Q179" s="213">
        <f t="shared" si="50"/>
        <v>0</v>
      </c>
      <c r="R179" s="213">
        <f t="shared" si="50"/>
        <v>0</v>
      </c>
      <c r="S179" s="113"/>
      <c r="T179" s="113"/>
    </row>
    <row r="180" spans="2:20" x14ac:dyDescent="0.25">
      <c r="B180" s="153"/>
      <c r="C180" s="155" t="s">
        <v>150</v>
      </c>
      <c r="D180" s="156"/>
      <c r="E180" s="156"/>
      <c r="F180" s="156"/>
      <c r="G180" s="156"/>
      <c r="H180" s="157" t="s">
        <v>123</v>
      </c>
      <c r="I180" s="214">
        <f>SUM(I170:I179)</f>
        <v>0</v>
      </c>
      <c r="J180" s="214">
        <f>SUM(J170:J179)</f>
        <v>0</v>
      </c>
      <c r="K180" s="214">
        <f t="shared" ref="K180:N180" si="51">SUM(K170:K179)</f>
        <v>0</v>
      </c>
      <c r="L180" s="214">
        <f t="shared" si="51"/>
        <v>0</v>
      </c>
      <c r="M180" s="214">
        <f t="shared" si="51"/>
        <v>0</v>
      </c>
      <c r="N180" s="214">
        <f t="shared" si="51"/>
        <v>0</v>
      </c>
      <c r="O180" s="214">
        <f t="shared" ref="O180" si="52">SUM(O170:O179)</f>
        <v>0</v>
      </c>
      <c r="P180" s="214">
        <f t="shared" ref="P180" si="53">SUM(P170:P179)</f>
        <v>0</v>
      </c>
      <c r="Q180" s="214">
        <f t="shared" ref="Q180" si="54">SUM(Q170:Q179)</f>
        <v>0</v>
      </c>
      <c r="R180" s="214">
        <f t="shared" ref="R180" si="55">SUM(R170:R179)</f>
        <v>0</v>
      </c>
      <c r="S180" s="113"/>
      <c r="T180" s="113"/>
    </row>
    <row r="181" spans="2:20" ht="12.75" x14ac:dyDescent="0.2">
      <c r="B181" s="158"/>
      <c r="C181" s="445" t="s">
        <v>151</v>
      </c>
      <c r="D181" s="445"/>
      <c r="E181" s="445"/>
      <c r="F181" s="445"/>
      <c r="G181" s="445"/>
      <c r="H181" s="158" t="s">
        <v>123</v>
      </c>
      <c r="I181" s="215">
        <f>SUM(I180:XFD180)</f>
        <v>0</v>
      </c>
      <c r="J181" s="215"/>
      <c r="K181" s="215"/>
      <c r="L181" s="215"/>
      <c r="M181" s="215"/>
      <c r="N181" s="215"/>
      <c r="O181" s="215"/>
      <c r="P181" s="215"/>
      <c r="Q181" s="215"/>
      <c r="R181" s="215"/>
      <c r="S181" s="216"/>
      <c r="T181" s="216"/>
    </row>
    <row r="182" spans="2:20" ht="12.75" x14ac:dyDescent="0.2">
      <c r="B182" s="159"/>
      <c r="C182" s="446"/>
      <c r="D182" s="446"/>
      <c r="E182" s="446"/>
      <c r="F182" s="446"/>
      <c r="G182" s="446"/>
      <c r="H182" s="153"/>
      <c r="I182" s="217"/>
      <c r="J182" s="218"/>
      <c r="K182" s="218"/>
      <c r="L182" s="219"/>
      <c r="M182" s="219"/>
      <c r="N182" s="219"/>
      <c r="O182" s="219"/>
      <c r="P182" s="219"/>
      <c r="Q182" s="219"/>
      <c r="R182" s="219"/>
      <c r="S182" s="220"/>
      <c r="T182" s="220"/>
    </row>
    <row r="183" spans="2:20" ht="12.75" x14ac:dyDescent="0.2">
      <c r="B183" s="158"/>
      <c r="C183" s="445" t="s">
        <v>152</v>
      </c>
      <c r="D183" s="445"/>
      <c r="E183" s="445"/>
      <c r="F183" s="445"/>
      <c r="G183" s="445"/>
      <c r="H183" s="158"/>
      <c r="I183" s="221"/>
      <c r="J183" s="222"/>
      <c r="K183" s="222"/>
      <c r="L183" s="222"/>
      <c r="M183" s="222"/>
      <c r="N183" s="222"/>
      <c r="O183" s="222"/>
      <c r="P183" s="222"/>
      <c r="Q183" s="222"/>
      <c r="R183" s="222"/>
      <c r="S183" s="158"/>
      <c r="T183" s="158"/>
    </row>
    <row r="184" spans="2:20" x14ac:dyDescent="0.25">
      <c r="B184" s="159"/>
      <c r="C184" s="160" t="s">
        <v>153</v>
      </c>
      <c r="D184" s="155"/>
      <c r="E184" s="155"/>
      <c r="F184" s="155"/>
      <c r="G184" s="155"/>
      <c r="H184" s="153"/>
      <c r="I184" s="213"/>
      <c r="J184" s="188"/>
      <c r="K184" s="188"/>
      <c r="L184" s="188"/>
      <c r="M184" s="188"/>
      <c r="N184" s="188"/>
      <c r="O184" s="188"/>
      <c r="P184" s="188"/>
      <c r="Q184" s="188"/>
      <c r="R184" s="188"/>
      <c r="S184" s="113"/>
      <c r="T184" s="113"/>
    </row>
    <row r="185" spans="2:20" x14ac:dyDescent="0.25">
      <c r="B185" s="159"/>
      <c r="C185" s="448" t="s">
        <v>154</v>
      </c>
      <c r="D185" s="449"/>
      <c r="E185" s="449"/>
      <c r="F185" s="449"/>
      <c r="G185" s="449"/>
      <c r="H185" s="151"/>
      <c r="I185" s="223"/>
      <c r="J185" s="150"/>
      <c r="K185" s="150"/>
      <c r="L185" s="150"/>
      <c r="M185" s="150"/>
      <c r="N185" s="150"/>
      <c r="O185" s="150"/>
      <c r="P185" s="150"/>
      <c r="Q185" s="150"/>
      <c r="R185" s="150"/>
      <c r="S185" s="113"/>
      <c r="T185" s="113"/>
    </row>
    <row r="186" spans="2:20" x14ac:dyDescent="0.25">
      <c r="B186" s="159"/>
      <c r="C186" s="447" t="s">
        <v>140</v>
      </c>
      <c r="D186" s="427"/>
      <c r="E186" s="427"/>
      <c r="F186" s="427"/>
      <c r="G186" s="427"/>
      <c r="H186" s="159" t="s">
        <v>155</v>
      </c>
      <c r="I186" s="224">
        <f>(I$28*I32*I35*I40*$H$20)/1000</f>
        <v>0</v>
      </c>
      <c r="J186" s="224">
        <f>(J$28*J32*J35*J40*$H$20)/1000</f>
        <v>0</v>
      </c>
      <c r="K186" s="224">
        <f t="shared" ref="K186:M186" si="56">(K$28*K32*K35*K40*$H$20)/1000</f>
        <v>0</v>
      </c>
      <c r="L186" s="224">
        <f t="shared" si="56"/>
        <v>0</v>
      </c>
      <c r="M186" s="224">
        <f t="shared" si="56"/>
        <v>0</v>
      </c>
      <c r="N186" s="224">
        <f t="shared" ref="N186:O186" si="57">(N$28*N32*N35*N40*$H$20)/1000</f>
        <v>0</v>
      </c>
      <c r="O186" s="224">
        <f t="shared" si="57"/>
        <v>0</v>
      </c>
      <c r="P186" s="224">
        <f t="shared" ref="P186:R186" si="58">(P$28*P32*P35*P40*$H$20)/1000</f>
        <v>0</v>
      </c>
      <c r="Q186" s="224">
        <f t="shared" si="58"/>
        <v>0</v>
      </c>
      <c r="R186" s="224">
        <f t="shared" si="58"/>
        <v>0</v>
      </c>
      <c r="S186" s="113"/>
      <c r="T186" s="113"/>
    </row>
    <row r="187" spans="2:20" x14ac:dyDescent="0.25">
      <c r="B187" s="159"/>
      <c r="C187" s="426" t="s">
        <v>141</v>
      </c>
      <c r="D187" s="427"/>
      <c r="E187" s="427"/>
      <c r="F187" s="427"/>
      <c r="G187" s="427"/>
      <c r="H187" s="164" t="s">
        <v>155</v>
      </c>
      <c r="I187" s="224">
        <f>(I$28*I44*I47*I52*$H$20)/1000</f>
        <v>0</v>
      </c>
      <c r="J187" s="224">
        <f>(J$28*J44*J47*J52*$H$20)/1000</f>
        <v>0</v>
      </c>
      <c r="K187" s="224">
        <f t="shared" ref="K187:M187" si="59">(K$28*K44*K47*K52*$H$20)/1000</f>
        <v>0</v>
      </c>
      <c r="L187" s="224">
        <f t="shared" si="59"/>
        <v>0</v>
      </c>
      <c r="M187" s="224">
        <f t="shared" si="59"/>
        <v>0</v>
      </c>
      <c r="N187" s="224">
        <f t="shared" ref="N187:O187" si="60">(N$28*N44*N47*N52*$H$20)/1000</f>
        <v>0</v>
      </c>
      <c r="O187" s="224">
        <f t="shared" si="60"/>
        <v>0</v>
      </c>
      <c r="P187" s="224">
        <f t="shared" ref="P187:R187" si="61">(P$28*P44*P47*P52*$H$20)/1000</f>
        <v>0</v>
      </c>
      <c r="Q187" s="224">
        <f t="shared" si="61"/>
        <v>0</v>
      </c>
      <c r="R187" s="224">
        <f t="shared" si="61"/>
        <v>0</v>
      </c>
      <c r="S187" s="113"/>
      <c r="T187" s="113"/>
    </row>
    <row r="188" spans="2:20" x14ac:dyDescent="0.25">
      <c r="B188" s="159"/>
      <c r="C188" s="426" t="s">
        <v>142</v>
      </c>
      <c r="D188" s="427"/>
      <c r="E188" s="427"/>
      <c r="F188" s="427"/>
      <c r="G188" s="427"/>
      <c r="H188" s="164" t="s">
        <v>155</v>
      </c>
      <c r="I188" s="224">
        <f>(I$28*I56*I59*I64*$H$20)/1000</f>
        <v>0</v>
      </c>
      <c r="J188" s="224">
        <f>(J$28*J56*J59*J64*$H$20)/1000</f>
        <v>0</v>
      </c>
      <c r="K188" s="224">
        <f t="shared" ref="K188:M188" si="62">(K$28*K56*K59*K64*$H$20)/1000</f>
        <v>0</v>
      </c>
      <c r="L188" s="224">
        <f t="shared" si="62"/>
        <v>0</v>
      </c>
      <c r="M188" s="224">
        <f t="shared" si="62"/>
        <v>0</v>
      </c>
      <c r="N188" s="224">
        <f t="shared" ref="N188:O188" si="63">(N$28*N56*N59*N64*$H$20)/1000</f>
        <v>0</v>
      </c>
      <c r="O188" s="224">
        <f t="shared" si="63"/>
        <v>0</v>
      </c>
      <c r="P188" s="224">
        <f t="shared" ref="P188:R188" si="64">(P$28*P56*P59*P64*$H$20)/1000</f>
        <v>0</v>
      </c>
      <c r="Q188" s="224">
        <f t="shared" si="64"/>
        <v>0</v>
      </c>
      <c r="R188" s="224">
        <f t="shared" si="64"/>
        <v>0</v>
      </c>
      <c r="S188" s="113"/>
      <c r="T188" s="113"/>
    </row>
    <row r="189" spans="2:20" x14ac:dyDescent="0.25">
      <c r="B189" s="159"/>
      <c r="C189" s="426" t="s">
        <v>143</v>
      </c>
      <c r="D189" s="427"/>
      <c r="E189" s="427"/>
      <c r="F189" s="427"/>
      <c r="G189" s="427"/>
      <c r="H189" s="164" t="s">
        <v>155</v>
      </c>
      <c r="I189" s="224">
        <f>(I$28*I68*I71*I76*$H$20)/1000</f>
        <v>0</v>
      </c>
      <c r="J189" s="224">
        <f>(J$28*J68*J71*J76*$H$20)/1000</f>
        <v>0</v>
      </c>
      <c r="K189" s="224">
        <f t="shared" ref="K189:M189" si="65">(K$28*K68*K71*K76*$H$20)/1000</f>
        <v>0</v>
      </c>
      <c r="L189" s="224">
        <f t="shared" si="65"/>
        <v>0</v>
      </c>
      <c r="M189" s="224">
        <f t="shared" si="65"/>
        <v>0</v>
      </c>
      <c r="N189" s="224">
        <f t="shared" ref="N189:O189" si="66">(N$28*N68*N71*N76*$H$20)/1000</f>
        <v>0</v>
      </c>
      <c r="O189" s="224">
        <f t="shared" si="66"/>
        <v>0</v>
      </c>
      <c r="P189" s="224">
        <f t="shared" ref="P189:R189" si="67">(P$28*P68*P71*P76*$H$20)/1000</f>
        <v>0</v>
      </c>
      <c r="Q189" s="224">
        <f t="shared" si="67"/>
        <v>0</v>
      </c>
      <c r="R189" s="224">
        <f t="shared" si="67"/>
        <v>0</v>
      </c>
      <c r="S189" s="113"/>
      <c r="T189" s="113"/>
    </row>
    <row r="190" spans="2:20" x14ac:dyDescent="0.25">
      <c r="B190" s="159"/>
      <c r="C190" s="426" t="s">
        <v>144</v>
      </c>
      <c r="D190" s="427"/>
      <c r="E190" s="427"/>
      <c r="F190" s="427"/>
      <c r="G190" s="427"/>
      <c r="H190" s="164" t="s">
        <v>155</v>
      </c>
      <c r="I190" s="224">
        <f>(I$28*I80*I83*I88*$H$20)/1000</f>
        <v>0</v>
      </c>
      <c r="J190" s="224">
        <f>(J$28*J80*J83*J88*$H$20)/1000</f>
        <v>0</v>
      </c>
      <c r="K190" s="224">
        <f t="shared" ref="K190:M190" si="68">(K$28*K80*K83*K88*$H$20)/1000</f>
        <v>0</v>
      </c>
      <c r="L190" s="224">
        <f t="shared" si="68"/>
        <v>0</v>
      </c>
      <c r="M190" s="224">
        <f t="shared" si="68"/>
        <v>0</v>
      </c>
      <c r="N190" s="224">
        <f t="shared" ref="N190:O190" si="69">(N$28*N80*N83*N88*$H$20)/1000</f>
        <v>0</v>
      </c>
      <c r="O190" s="224">
        <f t="shared" si="69"/>
        <v>0</v>
      </c>
      <c r="P190" s="224">
        <f t="shared" ref="P190:R190" si="70">(P$28*P80*P83*P88*$H$20)/1000</f>
        <v>0</v>
      </c>
      <c r="Q190" s="224">
        <f t="shared" si="70"/>
        <v>0</v>
      </c>
      <c r="R190" s="224">
        <f t="shared" si="70"/>
        <v>0</v>
      </c>
      <c r="S190" s="113"/>
      <c r="T190" s="113"/>
    </row>
    <row r="191" spans="2:20" x14ac:dyDescent="0.25">
      <c r="B191" s="159"/>
      <c r="C191" s="426" t="s">
        <v>145</v>
      </c>
      <c r="D191" s="427"/>
      <c r="E191" s="427"/>
      <c r="F191" s="427"/>
      <c r="G191" s="427"/>
      <c r="H191" s="164" t="s">
        <v>155</v>
      </c>
      <c r="I191" s="224">
        <f>(I$28*I92*I95*I100*$H$20)/1000</f>
        <v>0</v>
      </c>
      <c r="J191" s="224">
        <f>(J$28*J92*J95*J100*$H$20)/1000</f>
        <v>0</v>
      </c>
      <c r="K191" s="224">
        <f t="shared" ref="K191:M191" si="71">(K$28*K92*K95*K100*$H$20)/1000</f>
        <v>0</v>
      </c>
      <c r="L191" s="224">
        <f t="shared" si="71"/>
        <v>0</v>
      </c>
      <c r="M191" s="224">
        <f t="shared" si="71"/>
        <v>0</v>
      </c>
      <c r="N191" s="224">
        <f t="shared" ref="N191:O191" si="72">(N$28*N92*N95*N100*$H$20)/1000</f>
        <v>0</v>
      </c>
      <c r="O191" s="224">
        <f t="shared" si="72"/>
        <v>0</v>
      </c>
      <c r="P191" s="224">
        <f t="shared" ref="P191:R191" si="73">(P$28*P92*P95*P100*$H$20)/1000</f>
        <v>0</v>
      </c>
      <c r="Q191" s="224">
        <f t="shared" si="73"/>
        <v>0</v>
      </c>
      <c r="R191" s="224">
        <f t="shared" si="73"/>
        <v>0</v>
      </c>
      <c r="S191" s="113"/>
      <c r="T191" s="113"/>
    </row>
    <row r="192" spans="2:20" x14ac:dyDescent="0.25">
      <c r="B192" s="159"/>
      <c r="C192" s="426" t="s">
        <v>146</v>
      </c>
      <c r="D192" s="427"/>
      <c r="E192" s="427"/>
      <c r="F192" s="427"/>
      <c r="G192" s="427"/>
      <c r="H192" s="164" t="s">
        <v>155</v>
      </c>
      <c r="I192" s="224">
        <f>(I$28*I104*I107*I112*$H$20)/1000</f>
        <v>0</v>
      </c>
      <c r="J192" s="224">
        <f>(J$28*J104*J107*J112*$H$20)/1000</f>
        <v>0</v>
      </c>
      <c r="K192" s="224">
        <f t="shared" ref="K192:M192" si="74">(K$28*K104*K107*K112*$H$20)/1000</f>
        <v>0</v>
      </c>
      <c r="L192" s="224">
        <f t="shared" si="74"/>
        <v>0</v>
      </c>
      <c r="M192" s="224">
        <f t="shared" si="74"/>
        <v>0</v>
      </c>
      <c r="N192" s="224">
        <f t="shared" ref="N192:O192" si="75">(N$28*N104*N107*N112*$H$20)/1000</f>
        <v>0</v>
      </c>
      <c r="O192" s="224">
        <f t="shared" si="75"/>
        <v>0</v>
      </c>
      <c r="P192" s="224">
        <f t="shared" ref="P192:R192" si="76">(P$28*P104*P107*P112*$H$20)/1000</f>
        <v>0</v>
      </c>
      <c r="Q192" s="224">
        <f t="shared" si="76"/>
        <v>0</v>
      </c>
      <c r="R192" s="224">
        <f t="shared" si="76"/>
        <v>0</v>
      </c>
      <c r="S192" s="113"/>
      <c r="T192" s="113"/>
    </row>
    <row r="193" spans="2:20" x14ac:dyDescent="0.25">
      <c r="B193" s="159"/>
      <c r="C193" s="426" t="s">
        <v>147</v>
      </c>
      <c r="D193" s="427"/>
      <c r="E193" s="427"/>
      <c r="F193" s="427"/>
      <c r="G193" s="427"/>
      <c r="H193" s="164" t="s">
        <v>155</v>
      </c>
      <c r="I193" s="224">
        <f>(I$28*I116*I119*I124*$H$20)/1000</f>
        <v>0</v>
      </c>
      <c r="J193" s="224">
        <f>(J$28*J116*J119*J124*$H$20)/1000</f>
        <v>0</v>
      </c>
      <c r="K193" s="224">
        <f t="shared" ref="K193:M193" si="77">(K$28*K116*K119*K124*$H$20)/1000</f>
        <v>0</v>
      </c>
      <c r="L193" s="224">
        <f t="shared" si="77"/>
        <v>0</v>
      </c>
      <c r="M193" s="224">
        <f t="shared" si="77"/>
        <v>0</v>
      </c>
      <c r="N193" s="224">
        <f t="shared" ref="N193:O193" si="78">(N$28*N116*N119*N124*$H$20)/1000</f>
        <v>0</v>
      </c>
      <c r="O193" s="224">
        <f t="shared" si="78"/>
        <v>0</v>
      </c>
      <c r="P193" s="224">
        <f t="shared" ref="P193:R193" si="79">(P$28*P116*P119*P124*$H$20)/1000</f>
        <v>0</v>
      </c>
      <c r="Q193" s="224">
        <f t="shared" si="79"/>
        <v>0</v>
      </c>
      <c r="R193" s="224">
        <f t="shared" si="79"/>
        <v>0</v>
      </c>
      <c r="S193" s="113"/>
      <c r="T193" s="113"/>
    </row>
    <row r="194" spans="2:20" x14ac:dyDescent="0.25">
      <c r="B194" s="159"/>
      <c r="C194" s="426" t="s">
        <v>148</v>
      </c>
      <c r="D194" s="427"/>
      <c r="E194" s="427"/>
      <c r="F194" s="427"/>
      <c r="G194" s="427"/>
      <c r="H194" s="164" t="s">
        <v>155</v>
      </c>
      <c r="I194" s="224">
        <f>(I$28*I28*I131*I136*$H$20)/1000</f>
        <v>0</v>
      </c>
      <c r="J194" s="224">
        <f>(J$28*J28*J131*J136*$H$20)/1000</f>
        <v>0</v>
      </c>
      <c r="K194" s="224">
        <f t="shared" ref="K194:M194" si="80">(K$28*K28*K131*K136*$H$20)/1000</f>
        <v>0</v>
      </c>
      <c r="L194" s="224">
        <f t="shared" si="80"/>
        <v>0</v>
      </c>
      <c r="M194" s="224">
        <f t="shared" si="80"/>
        <v>0</v>
      </c>
      <c r="N194" s="224">
        <f t="shared" ref="N194:O194" si="81">(N$28*N28*N131*N136*$H$20)/1000</f>
        <v>0</v>
      </c>
      <c r="O194" s="224">
        <f t="shared" si="81"/>
        <v>0</v>
      </c>
      <c r="P194" s="224">
        <f t="shared" ref="P194:R194" si="82">(P$28*P28*P131*P136*$H$20)/1000</f>
        <v>0</v>
      </c>
      <c r="Q194" s="224">
        <f t="shared" si="82"/>
        <v>0</v>
      </c>
      <c r="R194" s="224">
        <f t="shared" si="82"/>
        <v>0</v>
      </c>
      <c r="S194" s="113"/>
      <c r="T194" s="113"/>
    </row>
    <row r="195" spans="2:20" x14ac:dyDescent="0.25">
      <c r="B195" s="159"/>
      <c r="C195" s="426" t="s">
        <v>149</v>
      </c>
      <c r="D195" s="427"/>
      <c r="E195" s="427"/>
      <c r="F195" s="427"/>
      <c r="G195" s="427"/>
      <c r="H195" s="164" t="s">
        <v>155</v>
      </c>
      <c r="I195" s="224">
        <f>(I$28*I140*I143*I148*$H$20)/1000</f>
        <v>0</v>
      </c>
      <c r="J195" s="224">
        <f>(J$28*J140*J143*J148*$H$20)/1000</f>
        <v>0</v>
      </c>
      <c r="K195" s="224">
        <f t="shared" ref="K195:M195" si="83">(K$28*K140*K143*K148*$H$20)/1000</f>
        <v>0</v>
      </c>
      <c r="L195" s="224">
        <f t="shared" si="83"/>
        <v>0</v>
      </c>
      <c r="M195" s="224">
        <f t="shared" si="83"/>
        <v>0</v>
      </c>
      <c r="N195" s="224">
        <f t="shared" ref="N195:O195" si="84">(N$28*N140*N143*N148*$H$20)/1000</f>
        <v>0</v>
      </c>
      <c r="O195" s="224">
        <f t="shared" si="84"/>
        <v>0</v>
      </c>
      <c r="P195" s="224">
        <f t="shared" ref="P195:R195" si="85">(P$28*P140*P143*P148*$H$20)/1000</f>
        <v>0</v>
      </c>
      <c r="Q195" s="224">
        <f t="shared" si="85"/>
        <v>0</v>
      </c>
      <c r="R195" s="224">
        <f t="shared" si="85"/>
        <v>0</v>
      </c>
      <c r="S195" s="113"/>
      <c r="T195" s="113"/>
    </row>
    <row r="196" spans="2:20" s="226" customFormat="1" x14ac:dyDescent="0.25">
      <c r="B196" s="165"/>
      <c r="C196" s="166" t="s">
        <v>156</v>
      </c>
      <c r="D196" s="167"/>
      <c r="E196" s="167"/>
      <c r="F196" s="167"/>
      <c r="G196" s="167"/>
      <c r="H196" s="168" t="s">
        <v>157</v>
      </c>
      <c r="I196" s="225">
        <f>SUM(I186:I195)</f>
        <v>0</v>
      </c>
      <c r="J196" s="225">
        <f>SUM(J186:J195)</f>
        <v>0</v>
      </c>
      <c r="K196" s="225">
        <f t="shared" ref="K196:N196" si="86">SUM(K186:K195)</f>
        <v>0</v>
      </c>
      <c r="L196" s="225">
        <f t="shared" si="86"/>
        <v>0</v>
      </c>
      <c r="M196" s="225">
        <f t="shared" si="86"/>
        <v>0</v>
      </c>
      <c r="N196" s="225">
        <f t="shared" si="86"/>
        <v>0</v>
      </c>
      <c r="O196" s="225">
        <f t="shared" ref="O196" si="87">SUM(O186:O195)</f>
        <v>0</v>
      </c>
      <c r="P196" s="225">
        <f t="shared" ref="P196" si="88">SUM(P186:P195)</f>
        <v>0</v>
      </c>
      <c r="Q196" s="225">
        <f t="shared" ref="Q196" si="89">SUM(Q186:Q195)</f>
        <v>0</v>
      </c>
      <c r="R196" s="225">
        <f t="shared" ref="R196" si="90">SUM(R186:R195)</f>
        <v>0</v>
      </c>
      <c r="S196" s="113"/>
      <c r="T196" s="113"/>
    </row>
    <row r="197" spans="2:20" s="227" customFormat="1" x14ac:dyDescent="0.25">
      <c r="B197" s="169"/>
      <c r="C197" s="160" t="s">
        <v>158</v>
      </c>
      <c r="D197" s="155"/>
      <c r="E197" s="155"/>
      <c r="F197" s="155"/>
      <c r="G197" s="155"/>
      <c r="H197" s="153" t="s">
        <v>157</v>
      </c>
      <c r="I197" s="213">
        <f>SUM(I196:XFD196)</f>
        <v>0</v>
      </c>
      <c r="J197" s="213"/>
      <c r="K197" s="213"/>
      <c r="L197" s="213"/>
      <c r="M197" s="213"/>
      <c r="N197" s="213"/>
      <c r="O197" s="213"/>
      <c r="P197" s="213"/>
      <c r="Q197" s="213"/>
      <c r="R197" s="213"/>
      <c r="S197" s="113"/>
      <c r="T197" s="113"/>
    </row>
    <row r="198" spans="2:20" x14ac:dyDescent="0.25">
      <c r="B198" s="159"/>
      <c r="C198" s="170"/>
      <c r="D198" s="171"/>
      <c r="E198" s="171"/>
      <c r="F198" s="171"/>
      <c r="G198" s="171"/>
      <c r="H198" s="169"/>
      <c r="I198" s="228"/>
      <c r="J198" s="228"/>
      <c r="K198" s="228"/>
      <c r="L198" s="228"/>
      <c r="M198" s="228"/>
      <c r="N198" s="228"/>
      <c r="O198" s="228"/>
      <c r="P198" s="228"/>
      <c r="Q198" s="228"/>
      <c r="R198" s="228"/>
      <c r="S198" s="113"/>
      <c r="T198" s="113"/>
    </row>
    <row r="199" spans="2:20" x14ac:dyDescent="0.25">
      <c r="B199" s="159"/>
      <c r="C199" s="172" t="s">
        <v>159</v>
      </c>
      <c r="D199" s="173"/>
      <c r="E199" s="173"/>
      <c r="F199" s="173"/>
      <c r="G199" s="173"/>
      <c r="H199" s="174" t="s">
        <v>106</v>
      </c>
      <c r="I199" s="229">
        <f>$H$17*I196</f>
        <v>0</v>
      </c>
      <c r="J199" s="229">
        <f>$H$17*J196</f>
        <v>0</v>
      </c>
      <c r="K199" s="229">
        <f t="shared" ref="K199:R199" si="91">$H$17*K196</f>
        <v>0</v>
      </c>
      <c r="L199" s="229">
        <f t="shared" si="91"/>
        <v>0</v>
      </c>
      <c r="M199" s="229">
        <f t="shared" si="91"/>
        <v>0</v>
      </c>
      <c r="N199" s="229">
        <f t="shared" si="91"/>
        <v>0</v>
      </c>
      <c r="O199" s="229">
        <f t="shared" si="91"/>
        <v>0</v>
      </c>
      <c r="P199" s="229">
        <f t="shared" si="91"/>
        <v>0</v>
      </c>
      <c r="Q199" s="229">
        <f t="shared" si="91"/>
        <v>0</v>
      </c>
      <c r="R199" s="229">
        <f t="shared" si="91"/>
        <v>0</v>
      </c>
      <c r="S199" s="113"/>
      <c r="T199" s="113"/>
    </row>
    <row r="200" spans="2:20" x14ac:dyDescent="0.25">
      <c r="B200" s="159"/>
      <c r="C200" s="170" t="s">
        <v>160</v>
      </c>
      <c r="D200" s="171"/>
      <c r="E200" s="171"/>
      <c r="F200" s="171"/>
      <c r="G200" s="171"/>
      <c r="H200" s="169" t="s">
        <v>106</v>
      </c>
      <c r="I200" s="228">
        <f>$H$17*I197</f>
        <v>0</v>
      </c>
      <c r="J200" s="228"/>
      <c r="K200" s="228"/>
      <c r="L200" s="228"/>
      <c r="M200" s="228"/>
      <c r="N200" s="228"/>
      <c r="O200" s="228"/>
      <c r="P200" s="228"/>
      <c r="Q200" s="228"/>
      <c r="R200" s="228"/>
      <c r="S200" s="113"/>
      <c r="T200" s="113"/>
    </row>
    <row r="201" spans="2:20" x14ac:dyDescent="0.25">
      <c r="B201" s="159"/>
      <c r="C201" s="172" t="s">
        <v>161</v>
      </c>
      <c r="D201" s="173"/>
      <c r="E201" s="173"/>
      <c r="F201" s="173"/>
      <c r="G201" s="173"/>
      <c r="H201" s="174"/>
      <c r="I201" s="230">
        <f>IF($H$16=$H$18,$H$15,(1/($H$16-$H$18))*(1-((1+$H$18)/(1+$H$16))^$H$15))</f>
        <v>0</v>
      </c>
      <c r="J201" s="228"/>
      <c r="K201" s="228"/>
      <c r="L201" s="228"/>
      <c r="M201" s="228"/>
      <c r="N201" s="228"/>
      <c r="O201" s="228"/>
      <c r="P201" s="228"/>
      <c r="Q201" s="228"/>
      <c r="R201" s="228"/>
      <c r="S201" s="113"/>
      <c r="T201" s="113"/>
    </row>
    <row r="202" spans="2:20" x14ac:dyDescent="0.25">
      <c r="B202" s="159"/>
      <c r="C202" s="170" t="s">
        <v>133</v>
      </c>
      <c r="D202" s="171"/>
      <c r="E202" s="171"/>
      <c r="F202" s="171"/>
      <c r="G202" s="171"/>
      <c r="H202" s="169" t="s">
        <v>123</v>
      </c>
      <c r="I202" s="228">
        <f>I200*I201</f>
        <v>0</v>
      </c>
      <c r="J202" s="228"/>
      <c r="K202" s="228"/>
      <c r="L202" s="228"/>
      <c r="M202" s="228"/>
      <c r="N202" s="228"/>
      <c r="O202" s="228"/>
      <c r="P202" s="228"/>
      <c r="Q202" s="228"/>
      <c r="R202" s="228"/>
      <c r="S202" s="113"/>
      <c r="T202" s="113"/>
    </row>
    <row r="203" spans="2:20" x14ac:dyDescent="0.25">
      <c r="B203" s="159"/>
      <c r="C203" s="171"/>
      <c r="D203" s="171"/>
      <c r="E203" s="171"/>
      <c r="F203" s="171"/>
      <c r="G203" s="171"/>
      <c r="H203" s="169"/>
      <c r="I203" s="228"/>
      <c r="J203" s="228"/>
      <c r="K203" s="228"/>
      <c r="L203" s="228"/>
      <c r="M203" s="228"/>
      <c r="N203" s="228"/>
      <c r="O203" s="228"/>
      <c r="P203" s="228"/>
      <c r="Q203" s="228"/>
      <c r="R203" s="228"/>
      <c r="S203" s="113"/>
      <c r="T203" s="113"/>
    </row>
    <row r="204" spans="2:20" x14ac:dyDescent="0.25">
      <c r="B204" s="159"/>
      <c r="C204" s="172" t="s">
        <v>162</v>
      </c>
      <c r="D204" s="173"/>
      <c r="E204" s="173"/>
      <c r="F204" s="173"/>
      <c r="G204" s="173"/>
      <c r="H204" s="174"/>
      <c r="I204" s="229"/>
      <c r="J204" s="229"/>
      <c r="K204" s="229"/>
      <c r="L204" s="229"/>
      <c r="M204" s="229"/>
      <c r="N204" s="229"/>
      <c r="O204" s="229"/>
      <c r="P204" s="229"/>
      <c r="Q204" s="229"/>
      <c r="R204" s="229"/>
      <c r="S204" s="113"/>
      <c r="T204" s="113"/>
    </row>
    <row r="205" spans="2:20" x14ac:dyDescent="0.25">
      <c r="B205" s="159"/>
      <c r="C205" s="163" t="s">
        <v>163</v>
      </c>
      <c r="D205" s="162"/>
      <c r="E205" s="162"/>
      <c r="F205" s="162"/>
      <c r="G205" s="162"/>
      <c r="H205" s="159" t="s">
        <v>106</v>
      </c>
      <c r="I205" s="224">
        <f>I41</f>
        <v>0</v>
      </c>
      <c r="J205" s="224">
        <f>J41</f>
        <v>0</v>
      </c>
      <c r="K205" s="224">
        <f t="shared" ref="K205:M205" si="92">K41</f>
        <v>0</v>
      </c>
      <c r="L205" s="224">
        <f t="shared" si="92"/>
        <v>0</v>
      </c>
      <c r="M205" s="224">
        <f t="shared" si="92"/>
        <v>0</v>
      </c>
      <c r="N205" s="224">
        <f t="shared" ref="N205:O205" si="93">N41</f>
        <v>0</v>
      </c>
      <c r="O205" s="224">
        <f t="shared" si="93"/>
        <v>0</v>
      </c>
      <c r="P205" s="224">
        <f t="shared" ref="P205:R205" si="94">P41</f>
        <v>0</v>
      </c>
      <c r="Q205" s="224">
        <f t="shared" si="94"/>
        <v>0</v>
      </c>
      <c r="R205" s="224">
        <f t="shared" si="94"/>
        <v>0</v>
      </c>
      <c r="S205" s="113"/>
      <c r="T205" s="113"/>
    </row>
    <row r="206" spans="2:20" x14ac:dyDescent="0.25">
      <c r="B206" s="159"/>
      <c r="C206" s="425" t="s">
        <v>164</v>
      </c>
      <c r="D206" s="424"/>
      <c r="E206" s="424"/>
      <c r="F206" s="424"/>
      <c r="G206" s="424"/>
      <c r="H206" s="149" t="s">
        <v>106</v>
      </c>
      <c r="I206" s="213">
        <f>I53</f>
        <v>0</v>
      </c>
      <c r="J206" s="213">
        <f>J53</f>
        <v>0</v>
      </c>
      <c r="K206" s="213">
        <f t="shared" ref="K206:M206" si="95">K53</f>
        <v>0</v>
      </c>
      <c r="L206" s="213">
        <f t="shared" si="95"/>
        <v>0</v>
      </c>
      <c r="M206" s="213">
        <f t="shared" si="95"/>
        <v>0</v>
      </c>
      <c r="N206" s="213">
        <f t="shared" ref="N206:O206" si="96">N53</f>
        <v>0</v>
      </c>
      <c r="O206" s="213">
        <f t="shared" si="96"/>
        <v>0</v>
      </c>
      <c r="P206" s="213">
        <f t="shared" ref="P206:R206" si="97">P53</f>
        <v>0</v>
      </c>
      <c r="Q206" s="213">
        <f t="shared" si="97"/>
        <v>0</v>
      </c>
      <c r="R206" s="213">
        <f t="shared" si="97"/>
        <v>0</v>
      </c>
      <c r="S206" s="113"/>
      <c r="T206" s="113"/>
    </row>
    <row r="207" spans="2:20" x14ac:dyDescent="0.25">
      <c r="B207" s="159"/>
      <c r="C207" s="163" t="s">
        <v>165</v>
      </c>
      <c r="D207" s="162"/>
      <c r="E207" s="162"/>
      <c r="F207" s="162"/>
      <c r="G207" s="162"/>
      <c r="H207" s="159" t="s">
        <v>106</v>
      </c>
      <c r="I207" s="213">
        <f>I65</f>
        <v>0</v>
      </c>
      <c r="J207" s="213">
        <f>J65</f>
        <v>0</v>
      </c>
      <c r="K207" s="213">
        <f t="shared" ref="K207:M207" si="98">K65</f>
        <v>0</v>
      </c>
      <c r="L207" s="213">
        <f t="shared" si="98"/>
        <v>0</v>
      </c>
      <c r="M207" s="213">
        <f t="shared" si="98"/>
        <v>0</v>
      </c>
      <c r="N207" s="213">
        <f t="shared" ref="N207:O207" si="99">N65</f>
        <v>0</v>
      </c>
      <c r="O207" s="213">
        <f t="shared" si="99"/>
        <v>0</v>
      </c>
      <c r="P207" s="213">
        <f t="shared" ref="P207:R207" si="100">P65</f>
        <v>0</v>
      </c>
      <c r="Q207" s="213">
        <f t="shared" si="100"/>
        <v>0</v>
      </c>
      <c r="R207" s="213">
        <f t="shared" si="100"/>
        <v>0</v>
      </c>
      <c r="S207" s="113"/>
      <c r="T207" s="113"/>
    </row>
    <row r="208" spans="2:20" x14ac:dyDescent="0.25">
      <c r="B208" s="159"/>
      <c r="C208" s="425" t="s">
        <v>166</v>
      </c>
      <c r="D208" s="424"/>
      <c r="E208" s="424"/>
      <c r="F208" s="424"/>
      <c r="G208" s="424"/>
      <c r="H208" s="149" t="s">
        <v>106</v>
      </c>
      <c r="I208" s="213">
        <f>I77</f>
        <v>0</v>
      </c>
      <c r="J208" s="213">
        <f>J77</f>
        <v>0</v>
      </c>
      <c r="K208" s="213">
        <f t="shared" ref="K208:M208" si="101">K77</f>
        <v>0</v>
      </c>
      <c r="L208" s="213">
        <f t="shared" si="101"/>
        <v>0</v>
      </c>
      <c r="M208" s="213">
        <f t="shared" si="101"/>
        <v>0</v>
      </c>
      <c r="N208" s="213">
        <f t="shared" ref="N208:O208" si="102">N77</f>
        <v>0</v>
      </c>
      <c r="O208" s="213">
        <f t="shared" si="102"/>
        <v>0</v>
      </c>
      <c r="P208" s="213">
        <f t="shared" ref="P208:R208" si="103">P77</f>
        <v>0</v>
      </c>
      <c r="Q208" s="213">
        <f t="shared" si="103"/>
        <v>0</v>
      </c>
      <c r="R208" s="213">
        <f t="shared" si="103"/>
        <v>0</v>
      </c>
      <c r="S208" s="113"/>
      <c r="T208" s="113"/>
    </row>
    <row r="209" spans="2:20" x14ac:dyDescent="0.25">
      <c r="B209" s="159"/>
      <c r="C209" s="163" t="s">
        <v>167</v>
      </c>
      <c r="D209" s="162"/>
      <c r="E209" s="162"/>
      <c r="F209" s="162"/>
      <c r="G209" s="162"/>
      <c r="H209" s="159" t="s">
        <v>106</v>
      </c>
      <c r="I209" s="213">
        <f>I89</f>
        <v>0</v>
      </c>
      <c r="J209" s="213">
        <f>J89</f>
        <v>0</v>
      </c>
      <c r="K209" s="213">
        <f t="shared" ref="K209:M209" si="104">K89</f>
        <v>0</v>
      </c>
      <c r="L209" s="213">
        <f t="shared" si="104"/>
        <v>0</v>
      </c>
      <c r="M209" s="213">
        <f t="shared" si="104"/>
        <v>0</v>
      </c>
      <c r="N209" s="213">
        <f t="shared" ref="N209:O209" si="105">N89</f>
        <v>0</v>
      </c>
      <c r="O209" s="213">
        <f t="shared" si="105"/>
        <v>0</v>
      </c>
      <c r="P209" s="213">
        <f t="shared" ref="P209:R209" si="106">P89</f>
        <v>0</v>
      </c>
      <c r="Q209" s="213">
        <f t="shared" si="106"/>
        <v>0</v>
      </c>
      <c r="R209" s="213">
        <f t="shared" si="106"/>
        <v>0</v>
      </c>
      <c r="S209" s="113"/>
      <c r="T209" s="113"/>
    </row>
    <row r="210" spans="2:20" x14ac:dyDescent="0.25">
      <c r="B210" s="159"/>
      <c r="C210" s="425" t="s">
        <v>168</v>
      </c>
      <c r="D210" s="424"/>
      <c r="E210" s="424"/>
      <c r="F210" s="424"/>
      <c r="G210" s="424"/>
      <c r="H210" s="149" t="s">
        <v>106</v>
      </c>
      <c r="I210" s="213">
        <f>I101</f>
        <v>0</v>
      </c>
      <c r="J210" s="213">
        <f>J101</f>
        <v>0</v>
      </c>
      <c r="K210" s="213">
        <f t="shared" ref="K210:M210" si="107">K101</f>
        <v>0</v>
      </c>
      <c r="L210" s="213">
        <f t="shared" si="107"/>
        <v>0</v>
      </c>
      <c r="M210" s="213">
        <f t="shared" si="107"/>
        <v>0</v>
      </c>
      <c r="N210" s="213">
        <f t="shared" ref="N210:O210" si="108">N101</f>
        <v>0</v>
      </c>
      <c r="O210" s="213">
        <f t="shared" si="108"/>
        <v>0</v>
      </c>
      <c r="P210" s="213">
        <f t="shared" ref="P210:R210" si="109">P101</f>
        <v>0</v>
      </c>
      <c r="Q210" s="213">
        <f t="shared" si="109"/>
        <v>0</v>
      </c>
      <c r="R210" s="213">
        <f t="shared" si="109"/>
        <v>0</v>
      </c>
      <c r="S210" s="113"/>
      <c r="T210" s="113"/>
    </row>
    <row r="211" spans="2:20" x14ac:dyDescent="0.25">
      <c r="B211" s="159"/>
      <c r="C211" s="163" t="s">
        <v>169</v>
      </c>
      <c r="D211" s="162"/>
      <c r="E211" s="162"/>
      <c r="F211" s="162"/>
      <c r="G211" s="162"/>
      <c r="H211" s="159" t="s">
        <v>106</v>
      </c>
      <c r="I211" s="213">
        <f>I113</f>
        <v>0</v>
      </c>
      <c r="J211" s="213">
        <f>J113</f>
        <v>0</v>
      </c>
      <c r="K211" s="213">
        <f t="shared" ref="K211:M211" si="110">K113</f>
        <v>0</v>
      </c>
      <c r="L211" s="213">
        <f t="shared" si="110"/>
        <v>0</v>
      </c>
      <c r="M211" s="213">
        <f t="shared" si="110"/>
        <v>0</v>
      </c>
      <c r="N211" s="213">
        <f t="shared" ref="N211:O211" si="111">N113</f>
        <v>0</v>
      </c>
      <c r="O211" s="213">
        <f t="shared" si="111"/>
        <v>0</v>
      </c>
      <c r="P211" s="213">
        <f t="shared" ref="P211:R211" si="112">P113</f>
        <v>0</v>
      </c>
      <c r="Q211" s="213">
        <f t="shared" si="112"/>
        <v>0</v>
      </c>
      <c r="R211" s="213">
        <f t="shared" si="112"/>
        <v>0</v>
      </c>
      <c r="S211" s="113"/>
      <c r="T211" s="113"/>
    </row>
    <row r="212" spans="2:20" x14ac:dyDescent="0.25">
      <c r="B212" s="159"/>
      <c r="C212" s="425" t="s">
        <v>170</v>
      </c>
      <c r="D212" s="424"/>
      <c r="E212" s="424"/>
      <c r="F212" s="424"/>
      <c r="G212" s="424"/>
      <c r="H212" s="149" t="s">
        <v>106</v>
      </c>
      <c r="I212" s="213">
        <f>I125</f>
        <v>0</v>
      </c>
      <c r="J212" s="213">
        <f>J125</f>
        <v>0</v>
      </c>
      <c r="K212" s="213">
        <f t="shared" ref="K212:M212" si="113">K125</f>
        <v>0</v>
      </c>
      <c r="L212" s="213">
        <f t="shared" si="113"/>
        <v>0</v>
      </c>
      <c r="M212" s="213">
        <f t="shared" si="113"/>
        <v>0</v>
      </c>
      <c r="N212" s="213">
        <f t="shared" ref="N212:O212" si="114">N125</f>
        <v>0</v>
      </c>
      <c r="O212" s="213">
        <f t="shared" si="114"/>
        <v>0</v>
      </c>
      <c r="P212" s="213">
        <f t="shared" ref="P212:R212" si="115">P125</f>
        <v>0</v>
      </c>
      <c r="Q212" s="213">
        <f t="shared" si="115"/>
        <v>0</v>
      </c>
      <c r="R212" s="213">
        <f t="shared" si="115"/>
        <v>0</v>
      </c>
      <c r="S212" s="113"/>
      <c r="T212" s="113"/>
    </row>
    <row r="213" spans="2:20" x14ac:dyDescent="0.25">
      <c r="B213" s="159"/>
      <c r="C213" s="163" t="s">
        <v>171</v>
      </c>
      <c r="D213" s="162"/>
      <c r="E213" s="162"/>
      <c r="F213" s="162"/>
      <c r="G213" s="162"/>
      <c r="H213" s="159" t="s">
        <v>106</v>
      </c>
      <c r="I213" s="213">
        <f>I137</f>
        <v>0</v>
      </c>
      <c r="J213" s="213">
        <f>J137</f>
        <v>0</v>
      </c>
      <c r="K213" s="213">
        <f t="shared" ref="K213:M213" si="116">K137</f>
        <v>0</v>
      </c>
      <c r="L213" s="213">
        <f t="shared" si="116"/>
        <v>0</v>
      </c>
      <c r="M213" s="213">
        <f t="shared" si="116"/>
        <v>0</v>
      </c>
      <c r="N213" s="213">
        <f t="shared" ref="N213:O213" si="117">N137</f>
        <v>0</v>
      </c>
      <c r="O213" s="213">
        <f t="shared" si="117"/>
        <v>0</v>
      </c>
      <c r="P213" s="213">
        <f t="shared" ref="P213:R213" si="118">P137</f>
        <v>0</v>
      </c>
      <c r="Q213" s="213">
        <f t="shared" si="118"/>
        <v>0</v>
      </c>
      <c r="R213" s="213">
        <f t="shared" si="118"/>
        <v>0</v>
      </c>
      <c r="S213" s="113"/>
      <c r="T213" s="113"/>
    </row>
    <row r="214" spans="2:20" x14ac:dyDescent="0.25">
      <c r="B214" s="159"/>
      <c r="C214" s="425" t="s">
        <v>172</v>
      </c>
      <c r="D214" s="424"/>
      <c r="E214" s="424"/>
      <c r="F214" s="424"/>
      <c r="G214" s="424"/>
      <c r="H214" s="149" t="s">
        <v>106</v>
      </c>
      <c r="I214" s="213">
        <f>I149</f>
        <v>0</v>
      </c>
      <c r="J214" s="213">
        <f>J149</f>
        <v>0</v>
      </c>
      <c r="K214" s="213">
        <f t="shared" ref="K214:M214" si="119">K149</f>
        <v>0</v>
      </c>
      <c r="L214" s="213">
        <f t="shared" si="119"/>
        <v>0</v>
      </c>
      <c r="M214" s="213">
        <f t="shared" si="119"/>
        <v>0</v>
      </c>
      <c r="N214" s="213">
        <f t="shared" ref="N214:O214" si="120">N149</f>
        <v>0</v>
      </c>
      <c r="O214" s="213">
        <f t="shared" si="120"/>
        <v>0</v>
      </c>
      <c r="P214" s="213">
        <f t="shared" ref="P214:R214" si="121">P149</f>
        <v>0</v>
      </c>
      <c r="Q214" s="213">
        <f t="shared" si="121"/>
        <v>0</v>
      </c>
      <c r="R214" s="213">
        <f t="shared" si="121"/>
        <v>0</v>
      </c>
      <c r="S214" s="113"/>
      <c r="T214" s="113"/>
    </row>
    <row r="215" spans="2:20" x14ac:dyDescent="0.25">
      <c r="B215" s="159"/>
      <c r="C215" s="175" t="s">
        <v>173</v>
      </c>
      <c r="D215" s="167"/>
      <c r="E215" s="167"/>
      <c r="F215" s="167"/>
      <c r="G215" s="167"/>
      <c r="H215" s="168" t="s">
        <v>106</v>
      </c>
      <c r="I215" s="225">
        <f>SUM(I205:I214)</f>
        <v>0</v>
      </c>
      <c r="J215" s="225">
        <f>SUM(J205:J214)</f>
        <v>0</v>
      </c>
      <c r="K215" s="225">
        <f t="shared" ref="K215:N215" si="122">SUM(K205:K214)</f>
        <v>0</v>
      </c>
      <c r="L215" s="225">
        <f t="shared" si="122"/>
        <v>0</v>
      </c>
      <c r="M215" s="225">
        <f t="shared" si="122"/>
        <v>0</v>
      </c>
      <c r="N215" s="225">
        <f t="shared" si="122"/>
        <v>0</v>
      </c>
      <c r="O215" s="225">
        <f t="shared" ref="O215" si="123">SUM(O205:O214)</f>
        <v>0</v>
      </c>
      <c r="P215" s="225">
        <f t="shared" ref="P215" si="124">SUM(P205:P214)</f>
        <v>0</v>
      </c>
      <c r="Q215" s="225">
        <f t="shared" ref="Q215" si="125">SUM(Q205:Q214)</f>
        <v>0</v>
      </c>
      <c r="R215" s="225">
        <f t="shared" ref="R215" si="126">SUM(R205:R214)</f>
        <v>0</v>
      </c>
      <c r="S215" s="113"/>
      <c r="T215" s="113"/>
    </row>
    <row r="216" spans="2:20" x14ac:dyDescent="0.25">
      <c r="B216" s="159"/>
      <c r="C216" s="160" t="s">
        <v>174</v>
      </c>
      <c r="D216" s="155"/>
      <c r="E216" s="155"/>
      <c r="F216" s="155"/>
      <c r="G216" s="155"/>
      <c r="H216" s="153" t="s">
        <v>106</v>
      </c>
      <c r="I216" s="213">
        <f>SUM(I215:XFD215)</f>
        <v>0</v>
      </c>
      <c r="J216" s="213"/>
      <c r="K216" s="213"/>
      <c r="L216" s="213"/>
      <c r="M216" s="213"/>
      <c r="N216" s="213"/>
      <c r="O216" s="213"/>
      <c r="P216" s="213"/>
      <c r="Q216" s="213"/>
      <c r="R216" s="213"/>
      <c r="S216" s="113"/>
      <c r="T216" s="113"/>
    </row>
    <row r="217" spans="2:20" ht="12.75" customHeight="1" x14ac:dyDescent="0.25">
      <c r="B217" s="159"/>
      <c r="C217" s="161" t="s">
        <v>161</v>
      </c>
      <c r="D217" s="154"/>
      <c r="E217" s="154"/>
      <c r="F217" s="154"/>
      <c r="G217" s="154"/>
      <c r="H217" s="151"/>
      <c r="I217" s="223">
        <f>(1/$H$16)*(1-(1/(1+$H$16))^$H$15)</f>
        <v>0</v>
      </c>
      <c r="J217" s="213"/>
      <c r="K217" s="213"/>
      <c r="L217" s="213"/>
      <c r="M217" s="213"/>
      <c r="N217" s="213"/>
      <c r="O217" s="213"/>
      <c r="P217" s="213"/>
      <c r="Q217" s="213"/>
      <c r="R217" s="213"/>
      <c r="S217" s="113"/>
      <c r="T217" s="113"/>
    </row>
    <row r="218" spans="2:20" ht="12.75" customHeight="1" x14ac:dyDescent="0.25">
      <c r="B218" s="159"/>
      <c r="C218" s="160" t="s">
        <v>175</v>
      </c>
      <c r="D218" s="155"/>
      <c r="E218" s="155"/>
      <c r="F218" s="155"/>
      <c r="G218" s="155"/>
      <c r="H218" s="153" t="s">
        <v>123</v>
      </c>
      <c r="I218" s="213">
        <f>I217*I216</f>
        <v>0</v>
      </c>
      <c r="J218" s="213"/>
      <c r="K218" s="213"/>
      <c r="L218" s="213"/>
      <c r="M218" s="213"/>
      <c r="N218" s="213"/>
      <c r="O218" s="213"/>
      <c r="P218" s="213"/>
      <c r="Q218" s="213"/>
      <c r="R218" s="213"/>
      <c r="S218" s="113"/>
      <c r="T218" s="113"/>
    </row>
    <row r="219" spans="2:20" ht="12.75" customHeight="1" x14ac:dyDescent="0.25">
      <c r="B219" s="159"/>
      <c r="C219" s="171"/>
      <c r="D219" s="171"/>
      <c r="E219" s="171"/>
      <c r="F219" s="171"/>
      <c r="G219" s="171"/>
      <c r="H219" s="169"/>
      <c r="I219" s="228"/>
      <c r="J219" s="228"/>
      <c r="K219" s="228"/>
      <c r="L219" s="228"/>
      <c r="M219" s="228"/>
      <c r="N219" s="228"/>
      <c r="O219" s="228"/>
      <c r="P219" s="228"/>
      <c r="Q219" s="228"/>
      <c r="R219" s="228"/>
      <c r="S219" s="113"/>
      <c r="T219" s="113"/>
    </row>
    <row r="220" spans="2:20" ht="12.75" customHeight="1" x14ac:dyDescent="0.25">
      <c r="B220" s="159"/>
      <c r="C220" s="172" t="s">
        <v>176</v>
      </c>
      <c r="D220" s="173"/>
      <c r="E220" s="173"/>
      <c r="F220" s="173"/>
      <c r="G220" s="173"/>
      <c r="H220" s="174"/>
      <c r="I220" s="229">
        <f>SUM(I186:I195)*$H$19</f>
        <v>0</v>
      </c>
      <c r="J220" s="229">
        <f>SUM(J186:J195)*$H$19</f>
        <v>0</v>
      </c>
      <c r="K220" s="229">
        <f t="shared" ref="K220:M220" si="127">SUM(K186:K195)*$H$19</f>
        <v>0</v>
      </c>
      <c r="L220" s="229">
        <f t="shared" si="127"/>
        <v>0</v>
      </c>
      <c r="M220" s="229">
        <f t="shared" si="127"/>
        <v>0</v>
      </c>
      <c r="N220" s="229">
        <f t="shared" ref="N220:O220" si="128">SUM(N186:N195)*$H$19</f>
        <v>0</v>
      </c>
      <c r="O220" s="229">
        <f t="shared" si="128"/>
        <v>0</v>
      </c>
      <c r="P220" s="229">
        <f t="shared" ref="P220:R220" si="129">SUM(P186:P195)*$H$19</f>
        <v>0</v>
      </c>
      <c r="Q220" s="229">
        <f t="shared" si="129"/>
        <v>0</v>
      </c>
      <c r="R220" s="229">
        <f t="shared" si="129"/>
        <v>0</v>
      </c>
      <c r="S220" s="113"/>
      <c r="T220" s="113"/>
    </row>
    <row r="221" spans="2:20" ht="12.75" customHeight="1" x14ac:dyDescent="0.25">
      <c r="B221" s="159"/>
      <c r="C221" s="176" t="s">
        <v>125</v>
      </c>
      <c r="D221" s="177"/>
      <c r="E221" s="177"/>
      <c r="F221" s="177"/>
      <c r="G221" s="177"/>
      <c r="H221" s="178" t="s">
        <v>177</v>
      </c>
      <c r="I221" s="231" t="e">
        <f>SUM(I222:I231)</f>
        <v>#DIV/0!</v>
      </c>
      <c r="J221" s="231" t="e">
        <f>SUM(J222:J231)</f>
        <v>#DIV/0!</v>
      </c>
      <c r="K221" s="231" t="e">
        <f t="shared" ref="K221:N221" si="130">SUM(K222:K231)</f>
        <v>#DIV/0!</v>
      </c>
      <c r="L221" s="231" t="e">
        <f t="shared" si="130"/>
        <v>#DIV/0!</v>
      </c>
      <c r="M221" s="231" t="e">
        <f t="shared" si="130"/>
        <v>#DIV/0!</v>
      </c>
      <c r="N221" s="231" t="e">
        <f t="shared" si="130"/>
        <v>#DIV/0!</v>
      </c>
      <c r="O221" s="231" t="e">
        <f t="shared" ref="O221" si="131">SUM(O222:O231)</f>
        <v>#DIV/0!</v>
      </c>
      <c r="P221" s="231" t="e">
        <f t="shared" ref="P221" si="132">SUM(P222:P231)</f>
        <v>#DIV/0!</v>
      </c>
      <c r="Q221" s="231" t="e">
        <f t="shared" ref="Q221" si="133">SUM(Q222:Q231)</f>
        <v>#DIV/0!</v>
      </c>
      <c r="R221" s="231" t="e">
        <f t="shared" ref="R221" si="134">SUM(R222:R231)</f>
        <v>#DIV/0!</v>
      </c>
      <c r="S221" s="113"/>
      <c r="T221" s="113"/>
    </row>
    <row r="222" spans="2:20" ht="12.75" customHeight="1" x14ac:dyDescent="0.25">
      <c r="B222" s="159"/>
      <c r="C222" s="163" t="s">
        <v>178</v>
      </c>
      <c r="D222" s="162"/>
      <c r="E222" s="162"/>
      <c r="F222" s="162"/>
      <c r="G222" s="162"/>
      <c r="H222" s="159" t="s">
        <v>177</v>
      </c>
      <c r="I222" s="224" t="e">
        <f>(I32*I35*$H$20*I40/1000)/I29</f>
        <v>#DIV/0!</v>
      </c>
      <c r="J222" s="224" t="e">
        <f t="shared" ref="J222:M222" si="135">(J32*J35*$H$20*J40/1000)/J29</f>
        <v>#DIV/0!</v>
      </c>
      <c r="K222" s="224" t="e">
        <f>(K32*K35*$H$20*K40/1000)/K29</f>
        <v>#DIV/0!</v>
      </c>
      <c r="L222" s="224" t="e">
        <f t="shared" si="135"/>
        <v>#DIV/0!</v>
      </c>
      <c r="M222" s="224" t="e">
        <f t="shared" si="135"/>
        <v>#DIV/0!</v>
      </c>
      <c r="N222" s="224" t="e">
        <f t="shared" ref="N222:O222" si="136">(N32*N35*$H$20*N40/1000)/N29</f>
        <v>#DIV/0!</v>
      </c>
      <c r="O222" s="224" t="e">
        <f t="shared" si="136"/>
        <v>#DIV/0!</v>
      </c>
      <c r="P222" s="224" t="e">
        <f t="shared" ref="P222:R222" si="137">(P32*P35*$H$20*P40/1000)/P29</f>
        <v>#DIV/0!</v>
      </c>
      <c r="Q222" s="224" t="e">
        <f t="shared" si="137"/>
        <v>#DIV/0!</v>
      </c>
      <c r="R222" s="224" t="e">
        <f t="shared" si="137"/>
        <v>#DIV/0!</v>
      </c>
      <c r="S222" s="113"/>
      <c r="T222" s="113"/>
    </row>
    <row r="223" spans="2:20" ht="12.75" customHeight="1" x14ac:dyDescent="0.25">
      <c r="B223" s="159"/>
      <c r="C223" s="425" t="s">
        <v>179</v>
      </c>
      <c r="D223" s="424"/>
      <c r="E223" s="424"/>
      <c r="F223" s="424"/>
      <c r="G223" s="424"/>
      <c r="H223" s="149" t="s">
        <v>177</v>
      </c>
      <c r="I223" s="213" t="e">
        <f>(I44*I47*$H$20*I52/1000)/I29</f>
        <v>#DIV/0!</v>
      </c>
      <c r="J223" s="213" t="e">
        <f t="shared" ref="J223:M223" si="138">(J44*J47*$H$20*J52/1000)/J29</f>
        <v>#DIV/0!</v>
      </c>
      <c r="K223" s="213" t="e">
        <f t="shared" si="138"/>
        <v>#DIV/0!</v>
      </c>
      <c r="L223" s="213" t="e">
        <f t="shared" si="138"/>
        <v>#DIV/0!</v>
      </c>
      <c r="M223" s="213" t="e">
        <f t="shared" si="138"/>
        <v>#DIV/0!</v>
      </c>
      <c r="N223" s="213" t="e">
        <f t="shared" ref="N223:O223" si="139">(N44*N47*$H$20*N52/1000)/N29</f>
        <v>#DIV/0!</v>
      </c>
      <c r="O223" s="213" t="e">
        <f t="shared" si="139"/>
        <v>#DIV/0!</v>
      </c>
      <c r="P223" s="213" t="e">
        <f t="shared" ref="P223:R223" si="140">(P44*P47*$H$20*P52/1000)/P29</f>
        <v>#DIV/0!</v>
      </c>
      <c r="Q223" s="213" t="e">
        <f t="shared" si="140"/>
        <v>#DIV/0!</v>
      </c>
      <c r="R223" s="213" t="e">
        <f t="shared" si="140"/>
        <v>#DIV/0!</v>
      </c>
      <c r="S223" s="113"/>
      <c r="T223" s="113"/>
    </row>
    <row r="224" spans="2:20" ht="12.75" customHeight="1" x14ac:dyDescent="0.25">
      <c r="B224" s="159"/>
      <c r="C224" s="163" t="s">
        <v>180</v>
      </c>
      <c r="D224" s="162"/>
      <c r="E224" s="162"/>
      <c r="F224" s="162"/>
      <c r="G224" s="162"/>
      <c r="H224" s="159" t="s">
        <v>177</v>
      </c>
      <c r="I224" s="213" t="e">
        <f>(I56*I59*$H$20*I64/1000)/I29</f>
        <v>#DIV/0!</v>
      </c>
      <c r="J224" s="213" t="e">
        <f t="shared" ref="J224:M224" si="141">(J56*J59*$H$20*J64/1000)/J29</f>
        <v>#DIV/0!</v>
      </c>
      <c r="K224" s="213" t="e">
        <f t="shared" si="141"/>
        <v>#DIV/0!</v>
      </c>
      <c r="L224" s="213" t="e">
        <f t="shared" si="141"/>
        <v>#DIV/0!</v>
      </c>
      <c r="M224" s="213" t="e">
        <f t="shared" si="141"/>
        <v>#DIV/0!</v>
      </c>
      <c r="N224" s="213" t="e">
        <f t="shared" ref="N224:O224" si="142">(N56*N59*$H$20*N64/1000)/N29</f>
        <v>#DIV/0!</v>
      </c>
      <c r="O224" s="213" t="e">
        <f t="shared" si="142"/>
        <v>#DIV/0!</v>
      </c>
      <c r="P224" s="213" t="e">
        <f t="shared" ref="P224:R224" si="143">(P56*P59*$H$20*P64/1000)/P29</f>
        <v>#DIV/0!</v>
      </c>
      <c r="Q224" s="213" t="e">
        <f t="shared" si="143"/>
        <v>#DIV/0!</v>
      </c>
      <c r="R224" s="213" t="e">
        <f t="shared" si="143"/>
        <v>#DIV/0!</v>
      </c>
      <c r="S224" s="113"/>
      <c r="T224" s="113"/>
    </row>
    <row r="225" spans="2:20" ht="12.75" customHeight="1" x14ac:dyDescent="0.25">
      <c r="B225" s="159"/>
      <c r="C225" s="425" t="s">
        <v>181</v>
      </c>
      <c r="D225" s="424"/>
      <c r="E225" s="424"/>
      <c r="F225" s="424"/>
      <c r="G225" s="424"/>
      <c r="H225" s="149" t="s">
        <v>177</v>
      </c>
      <c r="I225" s="213" t="e">
        <f>(I68*I71*$H$20*I76/1000)/I29</f>
        <v>#DIV/0!</v>
      </c>
      <c r="J225" s="213" t="e">
        <f t="shared" ref="J225:M225" si="144">(J68*J71*$H$20*J76/1000)/J29</f>
        <v>#DIV/0!</v>
      </c>
      <c r="K225" s="213" t="e">
        <f t="shared" si="144"/>
        <v>#DIV/0!</v>
      </c>
      <c r="L225" s="213" t="e">
        <f t="shared" si="144"/>
        <v>#DIV/0!</v>
      </c>
      <c r="M225" s="213" t="e">
        <f t="shared" si="144"/>
        <v>#DIV/0!</v>
      </c>
      <c r="N225" s="213" t="e">
        <f t="shared" ref="N225:O225" si="145">(N68*N71*$H$20*N76/1000)/N29</f>
        <v>#DIV/0!</v>
      </c>
      <c r="O225" s="213" t="e">
        <f t="shared" si="145"/>
        <v>#DIV/0!</v>
      </c>
      <c r="P225" s="213" t="e">
        <f t="shared" ref="P225:R225" si="146">(P68*P71*$H$20*P76/1000)/P29</f>
        <v>#DIV/0!</v>
      </c>
      <c r="Q225" s="213" t="e">
        <f t="shared" si="146"/>
        <v>#DIV/0!</v>
      </c>
      <c r="R225" s="213" t="e">
        <f t="shared" si="146"/>
        <v>#DIV/0!</v>
      </c>
      <c r="S225" s="113"/>
      <c r="T225" s="113"/>
    </row>
    <row r="226" spans="2:20" ht="12.75" customHeight="1" x14ac:dyDescent="0.25">
      <c r="B226" s="159"/>
      <c r="C226" s="163" t="s">
        <v>182</v>
      </c>
      <c r="D226" s="162"/>
      <c r="E226" s="162"/>
      <c r="F226" s="162"/>
      <c r="G226" s="162"/>
      <c r="H226" s="159" t="s">
        <v>177</v>
      </c>
      <c r="I226" s="213" t="e">
        <f>(I80*I83*$H$20*I88/1000)/I29</f>
        <v>#DIV/0!</v>
      </c>
      <c r="J226" s="213" t="e">
        <f t="shared" ref="J226:M226" si="147">(J80*J83*$H$20*J88/1000)/J29</f>
        <v>#DIV/0!</v>
      </c>
      <c r="K226" s="213" t="e">
        <f t="shared" si="147"/>
        <v>#DIV/0!</v>
      </c>
      <c r="L226" s="213" t="e">
        <f t="shared" si="147"/>
        <v>#DIV/0!</v>
      </c>
      <c r="M226" s="213" t="e">
        <f t="shared" si="147"/>
        <v>#DIV/0!</v>
      </c>
      <c r="N226" s="213" t="e">
        <f t="shared" ref="N226:O226" si="148">(N80*N83*$H$20*N88/1000)/N29</f>
        <v>#DIV/0!</v>
      </c>
      <c r="O226" s="213" t="e">
        <f t="shared" si="148"/>
        <v>#DIV/0!</v>
      </c>
      <c r="P226" s="213" t="e">
        <f t="shared" ref="P226:R226" si="149">(P80*P83*$H$20*P88/1000)/P29</f>
        <v>#DIV/0!</v>
      </c>
      <c r="Q226" s="213" t="e">
        <f t="shared" si="149"/>
        <v>#DIV/0!</v>
      </c>
      <c r="R226" s="213" t="e">
        <f t="shared" si="149"/>
        <v>#DIV/0!</v>
      </c>
      <c r="S226" s="113"/>
      <c r="T226" s="113"/>
    </row>
    <row r="227" spans="2:20" ht="12.75" customHeight="1" x14ac:dyDescent="0.25">
      <c r="B227" s="159"/>
      <c r="C227" s="425" t="s">
        <v>183</v>
      </c>
      <c r="D227" s="424"/>
      <c r="E227" s="424"/>
      <c r="F227" s="424"/>
      <c r="G227" s="424"/>
      <c r="H227" s="149" t="s">
        <v>177</v>
      </c>
      <c r="I227" s="213" t="e">
        <f>(I92*I95*$H$20*I100/1000)/I29</f>
        <v>#DIV/0!</v>
      </c>
      <c r="J227" s="213" t="e">
        <f t="shared" ref="J227:M227" si="150">(J92*J95*$H$20*J100/1000)/J29</f>
        <v>#DIV/0!</v>
      </c>
      <c r="K227" s="213" t="e">
        <f t="shared" si="150"/>
        <v>#DIV/0!</v>
      </c>
      <c r="L227" s="213" t="e">
        <f t="shared" si="150"/>
        <v>#DIV/0!</v>
      </c>
      <c r="M227" s="213" t="e">
        <f t="shared" si="150"/>
        <v>#DIV/0!</v>
      </c>
      <c r="N227" s="213" t="e">
        <f t="shared" ref="N227:O227" si="151">(N92*N95*$H$20*N100/1000)/N29</f>
        <v>#DIV/0!</v>
      </c>
      <c r="O227" s="213" t="e">
        <f t="shared" si="151"/>
        <v>#DIV/0!</v>
      </c>
      <c r="P227" s="213" t="e">
        <f t="shared" ref="P227:R227" si="152">(P92*P95*$H$20*P100/1000)/P29</f>
        <v>#DIV/0!</v>
      </c>
      <c r="Q227" s="213" t="e">
        <f t="shared" si="152"/>
        <v>#DIV/0!</v>
      </c>
      <c r="R227" s="213" t="e">
        <f t="shared" si="152"/>
        <v>#DIV/0!</v>
      </c>
      <c r="S227" s="113"/>
      <c r="T227" s="113"/>
    </row>
    <row r="228" spans="2:20" ht="12.75" customHeight="1" x14ac:dyDescent="0.25">
      <c r="B228" s="159"/>
      <c r="C228" s="163" t="s">
        <v>184</v>
      </c>
      <c r="D228" s="162"/>
      <c r="E228" s="162"/>
      <c r="F228" s="162"/>
      <c r="G228" s="162"/>
      <c r="H228" s="159" t="s">
        <v>177</v>
      </c>
      <c r="I228" s="213" t="e">
        <f>(I104*I107*$H$20*I112/1000)/I29</f>
        <v>#DIV/0!</v>
      </c>
      <c r="J228" s="213" t="e">
        <f t="shared" ref="J228:M228" si="153">(J104*J107*$H$20*J112/1000)/J29</f>
        <v>#DIV/0!</v>
      </c>
      <c r="K228" s="213" t="e">
        <f t="shared" si="153"/>
        <v>#DIV/0!</v>
      </c>
      <c r="L228" s="213" t="e">
        <f t="shared" si="153"/>
        <v>#DIV/0!</v>
      </c>
      <c r="M228" s="213" t="e">
        <f t="shared" si="153"/>
        <v>#DIV/0!</v>
      </c>
      <c r="N228" s="213" t="e">
        <f t="shared" ref="N228:O228" si="154">(N104*N107*$H$20*N112/1000)/N29</f>
        <v>#DIV/0!</v>
      </c>
      <c r="O228" s="213" t="e">
        <f t="shared" si="154"/>
        <v>#DIV/0!</v>
      </c>
      <c r="P228" s="213" t="e">
        <f t="shared" ref="P228:R228" si="155">(P104*P107*$H$20*P112/1000)/P29</f>
        <v>#DIV/0!</v>
      </c>
      <c r="Q228" s="213" t="e">
        <f t="shared" si="155"/>
        <v>#DIV/0!</v>
      </c>
      <c r="R228" s="213" t="e">
        <f t="shared" si="155"/>
        <v>#DIV/0!</v>
      </c>
      <c r="S228" s="113"/>
      <c r="T228" s="113"/>
    </row>
    <row r="229" spans="2:20" ht="12.75" customHeight="1" x14ac:dyDescent="0.25">
      <c r="B229" s="159"/>
      <c r="C229" s="425" t="s">
        <v>185</v>
      </c>
      <c r="D229" s="424"/>
      <c r="E229" s="424"/>
      <c r="F229" s="424"/>
      <c r="G229" s="424"/>
      <c r="H229" s="149" t="s">
        <v>177</v>
      </c>
      <c r="I229" s="213" t="e">
        <f>(I116*I119*$H$20*I124/1000)/I29</f>
        <v>#DIV/0!</v>
      </c>
      <c r="J229" s="213" t="e">
        <f t="shared" ref="J229:M229" si="156">(J116*J119*$H$20*J124/1000)/J29</f>
        <v>#DIV/0!</v>
      </c>
      <c r="K229" s="213" t="e">
        <f t="shared" si="156"/>
        <v>#DIV/0!</v>
      </c>
      <c r="L229" s="213" t="e">
        <f t="shared" si="156"/>
        <v>#DIV/0!</v>
      </c>
      <c r="M229" s="213" t="e">
        <f t="shared" si="156"/>
        <v>#DIV/0!</v>
      </c>
      <c r="N229" s="213" t="e">
        <f t="shared" ref="N229:O229" si="157">(N116*N119*$H$20*N124/1000)/N29</f>
        <v>#DIV/0!</v>
      </c>
      <c r="O229" s="213" t="e">
        <f t="shared" si="157"/>
        <v>#DIV/0!</v>
      </c>
      <c r="P229" s="213" t="e">
        <f t="shared" ref="P229:R229" si="158">(P116*P119*$H$20*P124/1000)/P29</f>
        <v>#DIV/0!</v>
      </c>
      <c r="Q229" s="213" t="e">
        <f t="shared" si="158"/>
        <v>#DIV/0!</v>
      </c>
      <c r="R229" s="213" t="e">
        <f t="shared" si="158"/>
        <v>#DIV/0!</v>
      </c>
      <c r="S229" s="113"/>
      <c r="T229" s="113"/>
    </row>
    <row r="230" spans="2:20" ht="12.75" customHeight="1" x14ac:dyDescent="0.25">
      <c r="B230" s="159"/>
      <c r="C230" s="163" t="s">
        <v>186</v>
      </c>
      <c r="D230" s="162"/>
      <c r="E230" s="162"/>
      <c r="F230" s="162"/>
      <c r="G230" s="162"/>
      <c r="H230" s="159" t="s">
        <v>177</v>
      </c>
      <c r="I230" s="213" t="e">
        <f>(I128*I131*$H$20*I136/1000)/I29</f>
        <v>#DIV/0!</v>
      </c>
      <c r="J230" s="213" t="e">
        <f t="shared" ref="J230:M230" si="159">(J128*J131*$H$20*J136/1000)/J29</f>
        <v>#DIV/0!</v>
      </c>
      <c r="K230" s="213" t="e">
        <f t="shared" si="159"/>
        <v>#DIV/0!</v>
      </c>
      <c r="L230" s="213" t="e">
        <f t="shared" si="159"/>
        <v>#DIV/0!</v>
      </c>
      <c r="M230" s="213" t="e">
        <f t="shared" si="159"/>
        <v>#DIV/0!</v>
      </c>
      <c r="N230" s="213" t="e">
        <f t="shared" ref="N230:O230" si="160">(N128*N131*$H$20*N136/1000)/N29</f>
        <v>#DIV/0!</v>
      </c>
      <c r="O230" s="213" t="e">
        <f t="shared" si="160"/>
        <v>#DIV/0!</v>
      </c>
      <c r="P230" s="213" t="e">
        <f t="shared" ref="P230:R230" si="161">(P128*P131*$H$20*P136/1000)/P29</f>
        <v>#DIV/0!</v>
      </c>
      <c r="Q230" s="213" t="e">
        <f t="shared" si="161"/>
        <v>#DIV/0!</v>
      </c>
      <c r="R230" s="213" t="e">
        <f t="shared" si="161"/>
        <v>#DIV/0!</v>
      </c>
      <c r="S230" s="113"/>
      <c r="T230" s="113"/>
    </row>
    <row r="231" spans="2:20" ht="12.75" customHeight="1" x14ac:dyDescent="0.25">
      <c r="B231" s="159"/>
      <c r="C231" s="425" t="s">
        <v>187</v>
      </c>
      <c r="D231" s="424"/>
      <c r="E231" s="424"/>
      <c r="F231" s="424"/>
      <c r="G231" s="424"/>
      <c r="H231" s="149" t="s">
        <v>177</v>
      </c>
      <c r="I231" s="213" t="e">
        <f>(I140*I143*$H$20*I148/1000)/I29</f>
        <v>#DIV/0!</v>
      </c>
      <c r="J231" s="213" t="e">
        <f t="shared" ref="J231:M231" si="162">(J140*J143*$H$20*J148/1000)/J29</f>
        <v>#DIV/0!</v>
      </c>
      <c r="K231" s="213" t="e">
        <f t="shared" si="162"/>
        <v>#DIV/0!</v>
      </c>
      <c r="L231" s="213" t="e">
        <f t="shared" si="162"/>
        <v>#DIV/0!</v>
      </c>
      <c r="M231" s="213" t="e">
        <f t="shared" si="162"/>
        <v>#DIV/0!</v>
      </c>
      <c r="N231" s="213" t="e">
        <f t="shared" ref="N231:O231" si="163">(N140*N143*$H$20*N148/1000)/N29</f>
        <v>#DIV/0!</v>
      </c>
      <c r="O231" s="213" t="e">
        <f t="shared" si="163"/>
        <v>#DIV/0!</v>
      </c>
      <c r="P231" s="213" t="e">
        <f t="shared" ref="P231:R231" si="164">(P140*P143*$H$20*P148/1000)/P29</f>
        <v>#DIV/0!</v>
      </c>
      <c r="Q231" s="213" t="e">
        <f t="shared" si="164"/>
        <v>#DIV/0!</v>
      </c>
      <c r="R231" s="213" t="e">
        <f t="shared" si="164"/>
        <v>#DIV/0!</v>
      </c>
      <c r="S231" s="113"/>
      <c r="T231" s="113"/>
    </row>
    <row r="232" spans="2:20" ht="13.35" customHeight="1" x14ac:dyDescent="0.2">
      <c r="B232" s="158"/>
      <c r="C232" s="445" t="s">
        <v>188</v>
      </c>
      <c r="D232" s="445"/>
      <c r="E232" s="445"/>
      <c r="F232" s="445"/>
      <c r="G232" s="445"/>
      <c r="H232" s="158" t="s">
        <v>123</v>
      </c>
      <c r="I232" s="216">
        <f>I218+I202</f>
        <v>0</v>
      </c>
      <c r="J232" s="216"/>
      <c r="K232" s="216"/>
      <c r="L232" s="216"/>
      <c r="M232" s="216"/>
      <c r="N232" s="216"/>
      <c r="O232" s="216"/>
      <c r="P232" s="216"/>
      <c r="Q232" s="216"/>
      <c r="R232" s="216"/>
      <c r="S232" s="216"/>
      <c r="T232" s="216"/>
    </row>
    <row r="233" spans="2:20" ht="29.25" customHeight="1" x14ac:dyDescent="0.2">
      <c r="B233" s="179"/>
      <c r="C233" s="180" t="s">
        <v>189</v>
      </c>
      <c r="D233" s="180"/>
      <c r="E233" s="180"/>
      <c r="F233" s="180"/>
      <c r="G233" s="180"/>
      <c r="H233" s="180" t="s">
        <v>123</v>
      </c>
      <c r="I233" s="232">
        <f>I232+I181</f>
        <v>0</v>
      </c>
      <c r="J233" s="232"/>
      <c r="K233" s="232"/>
      <c r="L233" s="232"/>
      <c r="M233" s="232"/>
      <c r="N233" s="232"/>
      <c r="O233" s="232"/>
      <c r="P233" s="232"/>
      <c r="Q233" s="232"/>
      <c r="R233" s="232"/>
      <c r="S233" s="232"/>
      <c r="T233" s="232"/>
    </row>
    <row r="234" spans="2:20" x14ac:dyDescent="0.25">
      <c r="C234" s="233"/>
      <c r="D234" s="233"/>
      <c r="E234" s="234"/>
      <c r="F234" s="234"/>
      <c r="G234" s="234"/>
      <c r="H234" s="234"/>
      <c r="I234" s="233"/>
      <c r="J234" s="235"/>
      <c r="K234" s="236"/>
    </row>
    <row r="235" spans="2:20" x14ac:dyDescent="0.25">
      <c r="F235" s="238"/>
      <c r="G235" s="238"/>
      <c r="H235" s="238"/>
      <c r="I235" s="239"/>
      <c r="J235" s="235"/>
      <c r="K235" s="236"/>
    </row>
    <row r="236" spans="2:20" hidden="1" x14ac:dyDescent="0.25"/>
    <row r="237" spans="2:20" hidden="1" x14ac:dyDescent="0.25">
      <c r="I237" s="237" t="s">
        <v>95</v>
      </c>
    </row>
    <row r="238" spans="2:20" hidden="1" x14ac:dyDescent="0.25">
      <c r="I238" s="237" t="s">
        <v>190</v>
      </c>
    </row>
    <row r="239" spans="2:20" hidden="1" x14ac:dyDescent="0.25">
      <c r="I239" s="237" t="s">
        <v>191</v>
      </c>
    </row>
    <row r="240" spans="2:20" hidden="1" x14ac:dyDescent="0.25">
      <c r="I240" s="237" t="s">
        <v>192</v>
      </c>
    </row>
    <row r="243" spans="9:13" x14ac:dyDescent="0.25">
      <c r="I243" s="237"/>
      <c r="J243" s="237"/>
      <c r="L243" s="237"/>
      <c r="M243" s="237"/>
    </row>
  </sheetData>
  <sheetProtection algorithmName="SHA-512" hashValue="Q0ubuMxsrs/FFCWdlL/JKdXASj3wjk9RBY8dazv1BhKL4IQ5BWQmWgd3dlKdCTxnyOh/ZZ8uj9ZJhm0TQDzOFQ==" saltValue="+wWYb5RiwX1+d0df7je0Rw==" spinCount="100000" sheet="1" objects="1" scenarios="1"/>
  <mergeCells count="63">
    <mergeCell ref="C232:G232"/>
    <mergeCell ref="C163:G163"/>
    <mergeCell ref="C156:G156"/>
    <mergeCell ref="C183:G183"/>
    <mergeCell ref="C182:G182"/>
    <mergeCell ref="C181:G181"/>
    <mergeCell ref="C187:G187"/>
    <mergeCell ref="C186:G186"/>
    <mergeCell ref="C185:G185"/>
    <mergeCell ref="C223:G223"/>
    <mergeCell ref="C188:G188"/>
    <mergeCell ref="C189:G189"/>
    <mergeCell ref="C190:G190"/>
    <mergeCell ref="C191:G191"/>
    <mergeCell ref="C192:G192"/>
    <mergeCell ref="C193:G193"/>
    <mergeCell ref="C18:G18"/>
    <mergeCell ref="C19:G19"/>
    <mergeCell ref="C20:G20"/>
    <mergeCell ref="C24:H24"/>
    <mergeCell ref="C171:G171"/>
    <mergeCell ref="C170:G170"/>
    <mergeCell ref="C169:G169"/>
    <mergeCell ref="C154:D154"/>
    <mergeCell ref="C167:G167"/>
    <mergeCell ref="C165:G165"/>
    <mergeCell ref="C160:G160"/>
    <mergeCell ref="C168:G168"/>
    <mergeCell ref="C6:D6"/>
    <mergeCell ref="E6:G6"/>
    <mergeCell ref="H6:I6"/>
    <mergeCell ref="C21:G21"/>
    <mergeCell ref="C9:H9"/>
    <mergeCell ref="C14:H14"/>
    <mergeCell ref="C11:E11"/>
    <mergeCell ref="F11:I11"/>
    <mergeCell ref="C12:E12"/>
    <mergeCell ref="F12:I12"/>
    <mergeCell ref="C13:E13"/>
    <mergeCell ref="F13:I13"/>
    <mergeCell ref="C15:G15"/>
    <mergeCell ref="C17:G17"/>
    <mergeCell ref="C10:H10"/>
    <mergeCell ref="C16:G16"/>
    <mergeCell ref="C194:G194"/>
    <mergeCell ref="C195:G195"/>
    <mergeCell ref="C208:G208"/>
    <mergeCell ref="C210:G210"/>
    <mergeCell ref="C212:G212"/>
    <mergeCell ref="C206:G206"/>
    <mergeCell ref="C214:G214"/>
    <mergeCell ref="C225:G225"/>
    <mergeCell ref="C227:G227"/>
    <mergeCell ref="C229:G229"/>
    <mergeCell ref="C231:G231"/>
    <mergeCell ref="C177:G177"/>
    <mergeCell ref="C178:G178"/>
    <mergeCell ref="C179:G179"/>
    <mergeCell ref="C172:G172"/>
    <mergeCell ref="C173:G173"/>
    <mergeCell ref="C174:G174"/>
    <mergeCell ref="C175:G175"/>
    <mergeCell ref="C176:G176"/>
  </mergeCells>
  <phoneticPr fontId="77" type="noConversion"/>
  <dataValidations count="4">
    <dataValidation allowBlank="1" showInputMessage="1" showErrorMessage="1" prompt="Markera cell till vänster för att välja pris i dropdown-menyn" sqref="G17" xr:uid="{00000000-0002-0000-0100-000000000000}"/>
    <dataValidation type="list" allowBlank="1" showInputMessage="1" showErrorMessage="1" sqref="I36:R36 I144:R144 I120:R120 I60:R60 I72:R72 I132:R132 I48:R48 I84:R84 I108:R108 I96:R96" xr:uid="{ABEF7BCC-3703-4082-8DF4-179CA6F85134}">
      <formula1>$I$237:$I$240</formula1>
    </dataValidation>
    <dataValidation type="list" allowBlank="1" showInputMessage="1" showErrorMessage="1" sqref="I27:R27" xr:uid="{D7E700B2-A57B-4DFE-99AE-622CA95ACAEB}">
      <formula1>INDIRECT(I$26)</formula1>
    </dataValidation>
    <dataValidation type="list" allowBlank="1" showInputMessage="1" showErrorMessage="1" promptTitle="Byggnadstyp" prompt="Välj ett från listan eller skriv in eget i raden under." sqref="L17" xr:uid="{389F5960-F156-4AC6-9720-551EDE0CADE1}">
      <formula1>$K$10:$K$14</formula1>
    </dataValidation>
  </dataValidations>
  <pageMargins left="0.75" right="0.75" top="1" bottom="1" header="0.5" footer="0.5"/>
  <pageSetup paperSize="9" scale="35" orientation="portrait" horizontalDpi="1200" verticalDpi="1200"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CE210C0-0894-400F-BBE1-D3CC0C483FAC}">
          <x14:formula1>
            <xm:f>'4. Reduktionsfaktorer, LENI-tal'!$Q$12:$T$12</xm:f>
          </x14:formula1>
          <xm:sqref>I25:R25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BF9B4-1726-406E-940F-B46AB6B0C72F}">
  <sheetPr>
    <tabColor rgb="FF6B2879"/>
  </sheetPr>
  <dimension ref="A1:T243"/>
  <sheetViews>
    <sheetView zoomScale="60" zoomScaleNormal="60" workbookViewId="0">
      <selection activeCell="H17" sqref="H17"/>
    </sheetView>
  </sheetViews>
  <sheetFormatPr defaultColWidth="9.140625" defaultRowHeight="15.75" x14ac:dyDescent="0.25"/>
  <cols>
    <col min="1" max="1" width="15.140625" style="189" customWidth="1"/>
    <col min="2" max="2" width="12.42578125" style="189" customWidth="1"/>
    <col min="3" max="3" width="10.42578125" style="189" customWidth="1"/>
    <col min="4" max="4" width="8.42578125" style="189" customWidth="1"/>
    <col min="5" max="5" width="8.140625" style="237" customWidth="1"/>
    <col min="6" max="6" width="10" style="237" customWidth="1"/>
    <col min="7" max="7" width="16.5703125" style="237" customWidth="1"/>
    <col min="8" max="8" width="8.85546875" style="237" customWidth="1"/>
    <col min="9" max="10" width="20.5703125" style="189" customWidth="1"/>
    <col min="11" max="11" width="20.5703125" style="240" customWidth="1"/>
    <col min="12" max="18" width="20.5703125" style="189" customWidth="1"/>
    <col min="19" max="16384" width="9.140625" style="189"/>
  </cols>
  <sheetData>
    <row r="1" spans="1:20" s="184" customFormat="1" ht="12.75" x14ac:dyDescent="0.2">
      <c r="A1" s="339" t="s">
        <v>0</v>
      </c>
    </row>
    <row r="2" spans="1:20" s="184" customFormat="1" ht="33.75" x14ac:dyDescent="0.5">
      <c r="G2" s="1" t="s">
        <v>1</v>
      </c>
    </row>
    <row r="3" spans="1:20" s="184" customFormat="1" ht="12.75" x14ac:dyDescent="0.2">
      <c r="G3" s="28" t="str">
        <f>'1. Introduktion'!G3</f>
        <v>Version 3.0</v>
      </c>
      <c r="H3" s="13"/>
      <c r="I3" s="13"/>
    </row>
    <row r="4" spans="1:20" s="184" customFormat="1" ht="12.75" x14ac:dyDescent="0.2">
      <c r="G4" s="28" t="str">
        <f>'1. Introduktion'!G4</f>
        <v>Datum: 2024-12-17</v>
      </c>
      <c r="H4" s="13"/>
      <c r="I4" s="28"/>
      <c r="K4" s="241"/>
    </row>
    <row r="5" spans="1:20" s="184" customFormat="1" ht="12.75" x14ac:dyDescent="0.2"/>
    <row r="6" spans="1:20" s="3" customFormat="1" ht="41.25" customHeight="1" x14ac:dyDescent="0.35">
      <c r="C6" s="428"/>
      <c r="D6" s="428"/>
      <c r="E6" s="428"/>
      <c r="F6" s="428"/>
      <c r="G6" s="428"/>
      <c r="H6" s="429"/>
      <c r="I6" s="429"/>
      <c r="J6" s="9"/>
      <c r="K6" s="10"/>
      <c r="L6" s="10"/>
      <c r="M6" s="10"/>
      <c r="N6" s="10"/>
      <c r="O6" s="10"/>
      <c r="P6" s="10"/>
      <c r="Q6" s="10"/>
      <c r="R6" s="10"/>
    </row>
    <row r="7" spans="1:20" s="186" customFormat="1" ht="21" x14ac:dyDescent="0.35">
      <c r="C7" s="4"/>
      <c r="D7" s="4"/>
      <c r="E7" s="4"/>
      <c r="F7" s="4"/>
      <c r="G7" s="4"/>
      <c r="H7" s="187"/>
      <c r="I7" s="187"/>
      <c r="J7" s="4"/>
      <c r="K7" s="4"/>
      <c r="L7" s="4"/>
      <c r="M7" s="4"/>
      <c r="N7" s="4"/>
      <c r="O7" s="4"/>
      <c r="P7" s="4"/>
      <c r="Q7" s="4"/>
      <c r="R7" s="4"/>
    </row>
    <row r="8" spans="1:20" s="186" customFormat="1" ht="21" x14ac:dyDescent="0.35">
      <c r="B8" s="243"/>
      <c r="C8" s="91" t="s">
        <v>193</v>
      </c>
      <c r="D8" s="92"/>
      <c r="E8" s="92"/>
      <c r="F8" s="92"/>
      <c r="G8" s="92"/>
      <c r="H8" s="244"/>
      <c r="I8" s="244"/>
      <c r="J8" s="92"/>
      <c r="K8" s="92"/>
      <c r="L8" s="92"/>
      <c r="M8" s="92"/>
      <c r="N8" s="92"/>
      <c r="O8" s="92"/>
      <c r="P8" s="92"/>
      <c r="Q8" s="92"/>
      <c r="R8" s="92"/>
      <c r="S8" s="92"/>
      <c r="T8" s="92"/>
    </row>
    <row r="9" spans="1:20" ht="15.75" customHeight="1" x14ac:dyDescent="0.2">
      <c r="B9" s="138"/>
      <c r="C9" s="431"/>
      <c r="D9" s="431"/>
      <c r="E9" s="431"/>
      <c r="F9" s="431"/>
      <c r="G9" s="431"/>
      <c r="H9" s="431"/>
      <c r="I9" s="188"/>
      <c r="J9" s="138"/>
      <c r="K9" s="404"/>
      <c r="L9" s="404"/>
      <c r="M9" s="138"/>
      <c r="N9" s="138"/>
      <c r="O9" s="138"/>
      <c r="P9" s="138"/>
      <c r="Q9" s="138"/>
      <c r="R9" s="138"/>
      <c r="S9" s="138"/>
      <c r="T9" s="138"/>
    </row>
    <row r="10" spans="1:20" ht="21" x14ac:dyDescent="0.35">
      <c r="B10" s="138"/>
      <c r="C10" s="437" t="s">
        <v>22</v>
      </c>
      <c r="D10" s="437"/>
      <c r="E10" s="437"/>
      <c r="F10" s="437"/>
      <c r="G10" s="437"/>
      <c r="H10" s="437"/>
      <c r="I10" s="181"/>
      <c r="J10" s="138"/>
      <c r="K10" s="405" t="s">
        <v>23</v>
      </c>
      <c r="L10" s="406">
        <v>0</v>
      </c>
      <c r="M10" s="138"/>
      <c r="N10" s="138"/>
      <c r="O10" s="138"/>
      <c r="P10" s="138"/>
      <c r="Q10" s="138"/>
      <c r="R10" s="138"/>
      <c r="S10" s="138"/>
      <c r="T10" s="138"/>
    </row>
    <row r="11" spans="1:20" s="190" customFormat="1" x14ac:dyDescent="0.25">
      <c r="B11" s="138"/>
      <c r="C11" s="433" t="s">
        <v>24</v>
      </c>
      <c r="D11" s="433"/>
      <c r="E11" s="433"/>
      <c r="F11" s="434" t="s">
        <v>25</v>
      </c>
      <c r="G11" s="434"/>
      <c r="H11" s="434"/>
      <c r="I11" s="434"/>
      <c r="J11" s="138"/>
      <c r="K11" s="405" t="s">
        <v>26</v>
      </c>
      <c r="L11" s="406">
        <v>2500</v>
      </c>
      <c r="M11" s="138"/>
      <c r="N11" s="138"/>
      <c r="O11" s="138"/>
      <c r="P11" s="138"/>
      <c r="Q11" s="138"/>
      <c r="R11" s="138"/>
      <c r="S11" s="138"/>
      <c r="T11" s="138"/>
    </row>
    <row r="12" spans="1:20" s="190" customFormat="1" x14ac:dyDescent="0.25">
      <c r="B12" s="138"/>
      <c r="C12" s="433" t="s">
        <v>27</v>
      </c>
      <c r="D12" s="433"/>
      <c r="E12" s="433"/>
      <c r="F12" s="435" t="s">
        <v>28</v>
      </c>
      <c r="G12" s="435"/>
      <c r="H12" s="435"/>
      <c r="I12" s="435"/>
      <c r="J12" s="138"/>
      <c r="K12" s="405" t="s">
        <v>29</v>
      </c>
      <c r="L12" s="406">
        <v>2000</v>
      </c>
      <c r="M12" s="138"/>
      <c r="N12" s="138"/>
      <c r="O12" s="138"/>
      <c r="P12" s="138"/>
      <c r="Q12" s="138"/>
      <c r="R12" s="138"/>
      <c r="S12" s="138"/>
      <c r="T12" s="138"/>
    </row>
    <row r="13" spans="1:20" s="190" customFormat="1" x14ac:dyDescent="0.25">
      <c r="B13" s="138"/>
      <c r="C13" s="433" t="s">
        <v>30</v>
      </c>
      <c r="D13" s="433"/>
      <c r="E13" s="433"/>
      <c r="F13" s="434" t="s">
        <v>31</v>
      </c>
      <c r="G13" s="434"/>
      <c r="H13" s="434"/>
      <c r="I13" s="434"/>
      <c r="J13" s="138"/>
      <c r="K13" s="405" t="s">
        <v>32</v>
      </c>
      <c r="L13" s="406">
        <v>4000</v>
      </c>
      <c r="M13" s="138"/>
      <c r="N13" s="138"/>
      <c r="O13" s="138"/>
      <c r="P13" s="138"/>
      <c r="Q13" s="138"/>
      <c r="R13" s="138"/>
      <c r="S13" s="138"/>
      <c r="T13" s="138"/>
    </row>
    <row r="14" spans="1:20" ht="15" x14ac:dyDescent="0.25">
      <c r="B14" s="138"/>
      <c r="C14" s="432"/>
      <c r="D14" s="432"/>
      <c r="E14" s="432"/>
      <c r="F14" s="432"/>
      <c r="G14" s="432"/>
      <c r="H14" s="432"/>
      <c r="I14" s="188"/>
      <c r="J14" s="138"/>
      <c r="K14" s="405" t="s">
        <v>33</v>
      </c>
      <c r="L14" s="406">
        <v>5000</v>
      </c>
      <c r="M14" s="138"/>
      <c r="N14" s="138"/>
      <c r="O14" s="138"/>
      <c r="P14" s="138"/>
      <c r="Q14" s="138"/>
      <c r="R14" s="138"/>
      <c r="S14" s="138"/>
      <c r="T14" s="138"/>
    </row>
    <row r="15" spans="1:20" s="190" customFormat="1" x14ac:dyDescent="0.25">
      <c r="B15" s="116" t="s">
        <v>34</v>
      </c>
      <c r="C15" s="436" t="s">
        <v>35</v>
      </c>
      <c r="D15" s="436"/>
      <c r="E15" s="436"/>
      <c r="F15" s="436"/>
      <c r="G15" s="436"/>
      <c r="H15" s="7"/>
      <c r="I15" s="191" t="s">
        <v>36</v>
      </c>
      <c r="J15" s="138"/>
      <c r="K15" s="397"/>
      <c r="L15" s="397"/>
      <c r="M15" s="138"/>
      <c r="N15" s="138"/>
      <c r="O15" s="138"/>
      <c r="P15" s="138"/>
      <c r="Q15" s="138"/>
      <c r="R15" s="138"/>
      <c r="S15" s="138"/>
      <c r="T15" s="138"/>
    </row>
    <row r="16" spans="1:20" s="190" customFormat="1" x14ac:dyDescent="0.25">
      <c r="B16" s="116" t="s">
        <v>37</v>
      </c>
      <c r="C16" s="436" t="s">
        <v>38</v>
      </c>
      <c r="D16" s="436"/>
      <c r="E16" s="436"/>
      <c r="F16" s="436"/>
      <c r="G16" s="436"/>
      <c r="H16" s="60">
        <v>0.05</v>
      </c>
      <c r="I16" s="192"/>
      <c r="J16" s="138"/>
      <c r="K16" s="398" t="s">
        <v>39</v>
      </c>
      <c r="L16" s="397"/>
      <c r="M16" s="138"/>
      <c r="N16" s="138"/>
      <c r="O16" s="138"/>
      <c r="P16" s="138"/>
      <c r="Q16" s="138"/>
      <c r="R16" s="138"/>
      <c r="S16" s="138"/>
      <c r="T16" s="138"/>
    </row>
    <row r="17" spans="2:20" s="190" customFormat="1" x14ac:dyDescent="0.25">
      <c r="B17" s="116" t="s">
        <v>40</v>
      </c>
      <c r="C17" s="436" t="s">
        <v>41</v>
      </c>
      <c r="D17" s="436"/>
      <c r="E17" s="436"/>
      <c r="F17" s="436"/>
      <c r="G17" s="436"/>
      <c r="H17" s="11"/>
      <c r="I17" s="191" t="s">
        <v>42</v>
      </c>
      <c r="J17" s="138"/>
      <c r="K17" s="399" t="s">
        <v>23</v>
      </c>
      <c r="L17" s="400" t="s">
        <v>23</v>
      </c>
      <c r="M17" s="138"/>
      <c r="N17" s="138"/>
      <c r="O17" s="138"/>
      <c r="P17" s="138"/>
      <c r="Q17" s="138"/>
      <c r="R17" s="138"/>
      <c r="S17" s="138"/>
      <c r="T17" s="138"/>
    </row>
    <row r="18" spans="2:20" s="190" customFormat="1" x14ac:dyDescent="0.25">
      <c r="B18" s="116" t="s">
        <v>43</v>
      </c>
      <c r="C18" s="436" t="s">
        <v>44</v>
      </c>
      <c r="D18" s="436"/>
      <c r="E18" s="436"/>
      <c r="F18" s="436"/>
      <c r="G18" s="436"/>
      <c r="H18" s="8"/>
      <c r="I18" s="192"/>
      <c r="J18" s="138"/>
      <c r="K18" s="401" t="s">
        <v>45</v>
      </c>
      <c r="L18" s="400"/>
      <c r="M18" s="138"/>
      <c r="N18" s="138"/>
      <c r="O18" s="138"/>
      <c r="P18" s="138"/>
      <c r="Q18" s="138"/>
      <c r="R18" s="138"/>
      <c r="S18" s="138"/>
      <c r="T18" s="138"/>
    </row>
    <row r="19" spans="2:20" s="190" customFormat="1" x14ac:dyDescent="0.25">
      <c r="B19" s="116" t="s">
        <v>46</v>
      </c>
      <c r="C19" s="436" t="s">
        <v>47</v>
      </c>
      <c r="D19" s="436"/>
      <c r="E19" s="436"/>
      <c r="F19" s="436"/>
      <c r="G19" s="436"/>
      <c r="H19" s="11"/>
      <c r="I19" s="193" t="s">
        <v>48</v>
      </c>
      <c r="J19" s="138"/>
      <c r="K19" s="402" t="s">
        <v>49</v>
      </c>
      <c r="L19" s="403">
        <f>IF(ISBLANK($L$18),VLOOKUP($L$17,$K$10:$L$14,2),$L$18)</f>
        <v>0</v>
      </c>
      <c r="M19" s="138"/>
      <c r="N19" s="138"/>
      <c r="O19" s="138"/>
      <c r="P19" s="138"/>
      <c r="Q19" s="138"/>
      <c r="R19" s="138"/>
      <c r="S19" s="138"/>
      <c r="T19" s="138"/>
    </row>
    <row r="20" spans="2:20" s="190" customFormat="1" x14ac:dyDescent="0.25">
      <c r="B20" s="116" t="s">
        <v>50</v>
      </c>
      <c r="C20" s="436" t="s">
        <v>51</v>
      </c>
      <c r="D20" s="436"/>
      <c r="E20" s="436"/>
      <c r="F20" s="436"/>
      <c r="G20" s="436"/>
      <c r="H20" s="408">
        <f>$L$19</f>
        <v>0</v>
      </c>
      <c r="I20" s="193" t="s">
        <v>52</v>
      </c>
      <c r="J20" s="138"/>
      <c r="K20" s="113"/>
      <c r="L20" s="113"/>
      <c r="M20" s="138"/>
      <c r="N20" s="138"/>
      <c r="O20" s="138"/>
      <c r="P20" s="138"/>
      <c r="Q20" s="138"/>
      <c r="R20" s="138"/>
      <c r="S20" s="138"/>
      <c r="T20" s="138"/>
    </row>
    <row r="21" spans="2:20" s="190" customFormat="1" ht="15.75" customHeight="1" x14ac:dyDescent="0.25">
      <c r="B21" s="138"/>
      <c r="C21" s="430"/>
      <c r="D21" s="430"/>
      <c r="E21" s="430"/>
      <c r="F21" s="430"/>
      <c r="G21" s="430"/>
      <c r="H21" s="153"/>
      <c r="I21" s="194"/>
      <c r="J21" s="138"/>
      <c r="K21" s="138"/>
      <c r="L21" s="138"/>
      <c r="M21" s="138"/>
      <c r="N21" s="138"/>
      <c r="O21" s="138"/>
      <c r="P21" s="138"/>
      <c r="Q21" s="138"/>
      <c r="R21" s="138"/>
      <c r="S21" s="138"/>
      <c r="T21" s="138"/>
    </row>
    <row r="22" spans="2:20" s="190" customFormat="1" ht="28.5" customHeight="1" x14ac:dyDescent="0.35">
      <c r="B22" s="245"/>
      <c r="C22" s="246" t="s">
        <v>53</v>
      </c>
      <c r="D22" s="247"/>
      <c r="E22" s="247"/>
      <c r="F22" s="247"/>
      <c r="G22" s="245"/>
      <c r="H22" s="245"/>
      <c r="I22" s="245"/>
      <c r="J22" s="245"/>
      <c r="K22" s="245"/>
      <c r="L22" s="245"/>
      <c r="M22" s="245"/>
      <c r="N22" s="245"/>
      <c r="O22" s="245"/>
      <c r="P22" s="245"/>
      <c r="Q22" s="245"/>
      <c r="R22" s="245"/>
      <c r="S22" s="245"/>
      <c r="T22" s="245"/>
    </row>
    <row r="23" spans="2:20" s="190" customFormat="1" ht="16.5" customHeight="1" x14ac:dyDescent="0.25">
      <c r="B23" s="113"/>
      <c r="C23" s="114"/>
      <c r="D23" s="113"/>
      <c r="E23" s="113"/>
      <c r="F23" s="113"/>
      <c r="G23" s="113"/>
      <c r="H23" s="113"/>
      <c r="I23" s="113"/>
      <c r="J23" s="113"/>
      <c r="K23" s="113"/>
      <c r="L23" s="113"/>
      <c r="M23" s="113"/>
      <c r="N23" s="113"/>
      <c r="O23" s="113"/>
      <c r="P23" s="113"/>
      <c r="Q23" s="113"/>
      <c r="R23" s="113"/>
      <c r="S23" s="113"/>
      <c r="T23" s="113"/>
    </row>
    <row r="24" spans="2:20" s="190" customFormat="1" ht="16.5" customHeight="1" x14ac:dyDescent="0.25">
      <c r="B24" s="113"/>
      <c r="C24" s="438" t="s">
        <v>54</v>
      </c>
      <c r="D24" s="438"/>
      <c r="E24" s="438"/>
      <c r="F24" s="438"/>
      <c r="G24" s="438"/>
      <c r="H24" s="438"/>
      <c r="I24" s="113"/>
      <c r="J24" s="113"/>
      <c r="K24" s="113"/>
      <c r="L24" s="113"/>
      <c r="M24" s="113"/>
      <c r="N24" s="113"/>
      <c r="O24" s="113"/>
      <c r="P24" s="113"/>
      <c r="Q24" s="113"/>
      <c r="R24" s="113"/>
      <c r="S24" s="113"/>
      <c r="T24" s="113"/>
    </row>
    <row r="25" spans="2:20" s="190" customFormat="1" ht="44.1" customHeight="1" x14ac:dyDescent="0.25">
      <c r="B25" s="116"/>
      <c r="C25" s="117" t="s">
        <v>23</v>
      </c>
      <c r="D25" s="118"/>
      <c r="E25" s="118"/>
      <c r="F25" s="118"/>
      <c r="G25" s="119"/>
      <c r="H25" s="119"/>
      <c r="I25" s="242" t="s">
        <v>55</v>
      </c>
      <c r="J25" s="242" t="s">
        <v>56</v>
      </c>
      <c r="K25" s="242" t="s">
        <v>57</v>
      </c>
      <c r="L25" s="242" t="s">
        <v>58</v>
      </c>
      <c r="M25" s="242" t="s">
        <v>59</v>
      </c>
      <c r="N25" s="242" t="s">
        <v>60</v>
      </c>
      <c r="O25" s="242" t="s">
        <v>61</v>
      </c>
      <c r="P25" s="242" t="s">
        <v>62</v>
      </c>
      <c r="Q25" s="242" t="s">
        <v>63</v>
      </c>
      <c r="R25" s="242" t="s">
        <v>64</v>
      </c>
      <c r="S25" s="113"/>
      <c r="T25" s="113"/>
    </row>
    <row r="26" spans="2:20" s="190" customFormat="1" ht="16.5" hidden="1" customHeight="1" x14ac:dyDescent="0.25">
      <c r="B26" s="116"/>
      <c r="C26" s="117" t="s">
        <v>65</v>
      </c>
      <c r="D26" s="118"/>
      <c r="E26" s="118"/>
      <c r="F26" s="118"/>
      <c r="G26" s="119"/>
      <c r="H26" s="119"/>
      <c r="I26" s="71" t="str">
        <f>SUBSTITUTE(I25," ","_")</f>
        <v>Byggnadstyp_1</v>
      </c>
      <c r="J26" s="71" t="str">
        <f t="shared" ref="J26:R26" si="0">SUBSTITUTE(J25," ","_")</f>
        <v>Byggnadstyp_2</v>
      </c>
      <c r="K26" s="71" t="str">
        <f t="shared" si="0"/>
        <v>Byggnadstyp_3</v>
      </c>
      <c r="L26" s="71" t="str">
        <f t="shared" si="0"/>
        <v>Byggnadstyp_4</v>
      </c>
      <c r="M26" s="71" t="str">
        <f t="shared" si="0"/>
        <v>Byggnadstyp_5</v>
      </c>
      <c r="N26" s="71" t="str">
        <f t="shared" si="0"/>
        <v>Byggnadstyp_6</v>
      </c>
      <c r="O26" s="71" t="str">
        <f t="shared" si="0"/>
        <v>Byggnadstyp_7</v>
      </c>
      <c r="P26" s="71" t="str">
        <f t="shared" si="0"/>
        <v>Byggnadstyp_8</v>
      </c>
      <c r="Q26" s="71" t="str">
        <f t="shared" si="0"/>
        <v>Byggnadstyp_9</v>
      </c>
      <c r="R26" s="71" t="str">
        <f t="shared" si="0"/>
        <v>Byggnadstyp_10</v>
      </c>
      <c r="S26" s="113"/>
      <c r="T26" s="113"/>
    </row>
    <row r="27" spans="2:20" s="190" customFormat="1" ht="44.1" customHeight="1" x14ac:dyDescent="0.25">
      <c r="B27" s="116"/>
      <c r="C27" s="117" t="s">
        <v>66</v>
      </c>
      <c r="D27" s="118"/>
      <c r="E27" s="118"/>
      <c r="F27" s="118"/>
      <c r="G27" s="119"/>
      <c r="H27" s="119"/>
      <c r="I27" s="242" t="s">
        <v>67</v>
      </c>
      <c r="J27" s="242" t="s">
        <v>68</v>
      </c>
      <c r="K27" s="242" t="s">
        <v>69</v>
      </c>
      <c r="L27" s="242" t="s">
        <v>70</v>
      </c>
      <c r="M27" s="242" t="s">
        <v>71</v>
      </c>
      <c r="N27" s="242" t="s">
        <v>72</v>
      </c>
      <c r="O27" s="242" t="s">
        <v>73</v>
      </c>
      <c r="P27" s="242" t="s">
        <v>74</v>
      </c>
      <c r="Q27" s="242" t="s">
        <v>75</v>
      </c>
      <c r="R27" s="242" t="s">
        <v>76</v>
      </c>
      <c r="S27" s="113"/>
      <c r="T27" s="113"/>
    </row>
    <row r="28" spans="2:20" s="190" customFormat="1" ht="16.5" customHeight="1" x14ac:dyDescent="0.25">
      <c r="B28" s="116"/>
      <c r="C28" s="120" t="s">
        <v>77</v>
      </c>
      <c r="D28" s="121"/>
      <c r="E28" s="121"/>
      <c r="F28" s="121"/>
      <c r="G28" s="122"/>
      <c r="H28" s="122" t="s">
        <v>78</v>
      </c>
      <c r="I28" s="182">
        <v>1</v>
      </c>
      <c r="J28" s="182">
        <v>1</v>
      </c>
      <c r="K28" s="182">
        <v>1</v>
      </c>
      <c r="L28" s="182">
        <v>1</v>
      </c>
      <c r="M28" s="182">
        <v>1</v>
      </c>
      <c r="N28" s="182">
        <v>1</v>
      </c>
      <c r="O28" s="182">
        <v>1</v>
      </c>
      <c r="P28" s="182">
        <v>1</v>
      </c>
      <c r="Q28" s="182">
        <v>1</v>
      </c>
      <c r="R28" s="182">
        <v>1</v>
      </c>
      <c r="S28" s="113"/>
      <c r="T28" s="113"/>
    </row>
    <row r="29" spans="2:20" s="190" customFormat="1" ht="16.5" customHeight="1" x14ac:dyDescent="0.25">
      <c r="B29" s="116"/>
      <c r="C29" s="120" t="s">
        <v>79</v>
      </c>
      <c r="D29" s="121"/>
      <c r="E29" s="121"/>
      <c r="F29" s="121"/>
      <c r="G29" s="122"/>
      <c r="H29" s="122" t="s">
        <v>80</v>
      </c>
      <c r="I29" s="182">
        <v>1</v>
      </c>
      <c r="J29" s="182">
        <v>1</v>
      </c>
      <c r="K29" s="182">
        <v>1</v>
      </c>
      <c r="L29" s="182">
        <v>1</v>
      </c>
      <c r="M29" s="182">
        <v>1</v>
      </c>
      <c r="N29" s="182">
        <v>1</v>
      </c>
      <c r="O29" s="182">
        <v>1</v>
      </c>
      <c r="P29" s="182">
        <v>1</v>
      </c>
      <c r="Q29" s="182">
        <v>1</v>
      </c>
      <c r="R29" s="182">
        <v>1</v>
      </c>
      <c r="S29" s="113"/>
      <c r="T29" s="113"/>
    </row>
    <row r="30" spans="2:20" s="190" customFormat="1" ht="16.5" customHeight="1" x14ac:dyDescent="0.25">
      <c r="B30" s="116"/>
      <c r="C30" s="115" t="s">
        <v>81</v>
      </c>
      <c r="D30" s="123"/>
      <c r="E30" s="123"/>
      <c r="F30" s="123"/>
      <c r="G30" s="123"/>
      <c r="H30" s="123"/>
      <c r="I30" s="197"/>
      <c r="J30" s="197"/>
      <c r="K30" s="197"/>
      <c r="L30" s="197"/>
      <c r="M30" s="197"/>
      <c r="N30" s="197"/>
      <c r="O30" s="197"/>
      <c r="P30" s="197"/>
      <c r="Q30" s="197"/>
      <c r="R30" s="197"/>
      <c r="S30" s="113"/>
      <c r="T30" s="113"/>
    </row>
    <row r="31" spans="2:20" s="190" customFormat="1" ht="16.5" customHeight="1" x14ac:dyDescent="0.25">
      <c r="B31" s="116"/>
      <c r="C31" s="115" t="s">
        <v>82</v>
      </c>
      <c r="D31" s="123"/>
      <c r="E31" s="123"/>
      <c r="F31" s="123"/>
      <c r="G31" s="123"/>
      <c r="H31" s="123"/>
      <c r="I31" s="197"/>
      <c r="J31" s="197"/>
      <c r="K31" s="197"/>
      <c r="L31" s="197"/>
      <c r="M31" s="197"/>
      <c r="N31" s="197"/>
      <c r="O31" s="197"/>
      <c r="P31" s="197"/>
      <c r="Q31" s="197"/>
      <c r="R31" s="197"/>
      <c r="S31" s="113"/>
      <c r="T31" s="113"/>
    </row>
    <row r="32" spans="2:20" s="190" customFormat="1" ht="16.5" customHeight="1" x14ac:dyDescent="0.25">
      <c r="B32" s="116" t="s">
        <v>83</v>
      </c>
      <c r="C32" s="120" t="s">
        <v>84</v>
      </c>
      <c r="D32" s="121"/>
      <c r="E32" s="121"/>
      <c r="F32" s="121"/>
      <c r="G32" s="122"/>
      <c r="H32" s="122" t="s">
        <v>78</v>
      </c>
      <c r="I32" s="72"/>
      <c r="J32" s="72"/>
      <c r="K32" s="72"/>
      <c r="L32" s="72"/>
      <c r="M32" s="72"/>
      <c r="N32" s="72"/>
      <c r="O32" s="72"/>
      <c r="P32" s="72"/>
      <c r="Q32" s="72"/>
      <c r="R32" s="72"/>
      <c r="S32" s="113"/>
      <c r="T32" s="113"/>
    </row>
    <row r="33" spans="2:20" s="190" customFormat="1" ht="16.5" customHeight="1" x14ac:dyDescent="0.25">
      <c r="B33" s="116" t="s">
        <v>85</v>
      </c>
      <c r="C33" s="120" t="s">
        <v>86</v>
      </c>
      <c r="D33" s="121"/>
      <c r="E33" s="121"/>
      <c r="F33" s="121"/>
      <c r="G33" s="122"/>
      <c r="H33" s="122" t="s">
        <v>87</v>
      </c>
      <c r="I33" s="72"/>
      <c r="J33" s="72"/>
      <c r="K33" s="72"/>
      <c r="L33" s="72"/>
      <c r="M33" s="72"/>
      <c r="N33" s="72"/>
      <c r="O33" s="72"/>
      <c r="P33" s="72"/>
      <c r="Q33" s="72"/>
      <c r="R33" s="72"/>
      <c r="S33" s="113"/>
      <c r="T33" s="113"/>
    </row>
    <row r="34" spans="2:20" s="190" customFormat="1" ht="16.5" customHeight="1" x14ac:dyDescent="0.25">
      <c r="B34" s="116" t="s">
        <v>88</v>
      </c>
      <c r="C34" s="120" t="s">
        <v>89</v>
      </c>
      <c r="D34" s="121"/>
      <c r="E34" s="121"/>
      <c r="F34" s="121"/>
      <c r="G34" s="122"/>
      <c r="H34" s="122" t="s">
        <v>87</v>
      </c>
      <c r="I34" s="72"/>
      <c r="J34" s="72"/>
      <c r="K34" s="72"/>
      <c r="L34" s="72"/>
      <c r="M34" s="72"/>
      <c r="N34" s="72"/>
      <c r="O34" s="72"/>
      <c r="P34" s="72"/>
      <c r="Q34" s="72"/>
      <c r="R34" s="72"/>
      <c r="S34" s="113"/>
      <c r="T34" s="113"/>
    </row>
    <row r="35" spans="2:20" s="190" customFormat="1" ht="16.5" customHeight="1" x14ac:dyDescent="0.25">
      <c r="B35" s="116" t="s">
        <v>90</v>
      </c>
      <c r="C35" s="120" t="s">
        <v>91</v>
      </c>
      <c r="D35" s="121"/>
      <c r="E35" s="121"/>
      <c r="F35" s="121"/>
      <c r="G35" s="122"/>
      <c r="H35" s="122" t="s">
        <v>92</v>
      </c>
      <c r="I35" s="72"/>
      <c r="J35" s="72"/>
      <c r="K35" s="72"/>
      <c r="L35" s="72"/>
      <c r="M35" s="72"/>
      <c r="N35" s="72"/>
      <c r="O35" s="72"/>
      <c r="P35" s="72"/>
      <c r="Q35" s="72"/>
      <c r="R35" s="72"/>
      <c r="S35" s="113"/>
      <c r="T35" s="113"/>
    </row>
    <row r="36" spans="2:20" s="190" customFormat="1" ht="30" customHeight="1" x14ac:dyDescent="0.25">
      <c r="B36" s="116" t="s">
        <v>93</v>
      </c>
      <c r="C36" s="120" t="s">
        <v>94</v>
      </c>
      <c r="D36" s="121"/>
      <c r="E36" s="121"/>
      <c r="F36" s="121"/>
      <c r="G36" s="122"/>
      <c r="H36" s="122"/>
      <c r="I36" s="72" t="s">
        <v>95</v>
      </c>
      <c r="J36" s="72" t="s">
        <v>95</v>
      </c>
      <c r="K36" s="72" t="s">
        <v>95</v>
      </c>
      <c r="L36" s="72" t="s">
        <v>95</v>
      </c>
      <c r="M36" s="72" t="s">
        <v>95</v>
      </c>
      <c r="N36" s="72" t="s">
        <v>95</v>
      </c>
      <c r="O36" s="72" t="s">
        <v>95</v>
      </c>
      <c r="P36" s="72" t="s">
        <v>95</v>
      </c>
      <c r="Q36" s="72" t="s">
        <v>95</v>
      </c>
      <c r="R36" s="72" t="s">
        <v>95</v>
      </c>
      <c r="S36" s="113"/>
      <c r="T36" s="113"/>
    </row>
    <row r="37" spans="2:20" s="190" customFormat="1" ht="28.5" customHeight="1" x14ac:dyDescent="0.25">
      <c r="B37" s="116" t="s">
        <v>96</v>
      </c>
      <c r="C37" s="120" t="s">
        <v>97</v>
      </c>
      <c r="D37" s="121"/>
      <c r="E37" s="121"/>
      <c r="F37" s="121"/>
      <c r="G37" s="122"/>
      <c r="H37" s="122"/>
      <c r="I37" s="72" t="str" cm="1">
        <f t="array" ref="I37">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37" s="72" t="str" cm="1">
        <f t="array" ref="J37">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37" s="72" t="str" cm="1">
        <f t="array" ref="K37">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37" s="72" t="str" cm="1">
        <f t="array" ref="L37">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37" s="72" t="str" cm="1">
        <f t="array" ref="M37">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37" s="72" t="str" cm="1">
        <f t="array" ref="N37">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37" s="72" t="str" cm="1">
        <f t="array" ref="O37">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37" s="72" t="str" cm="1">
        <f t="array" ref="P37">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37" s="72" t="str" cm="1">
        <f t="array" ref="Q37">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37" s="72" t="str" cm="1">
        <f t="array" ref="R37">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37" s="113"/>
      <c r="T37" s="113"/>
    </row>
    <row r="38" spans="2:20" s="190" customFormat="1" ht="28.5" customHeight="1" x14ac:dyDescent="0.25">
      <c r="B38" s="116" t="s">
        <v>98</v>
      </c>
      <c r="C38" s="120" t="s">
        <v>99</v>
      </c>
      <c r="D38" s="121"/>
      <c r="E38" s="121"/>
      <c r="F38" s="121"/>
      <c r="G38" s="122"/>
      <c r="H38" s="122"/>
      <c r="I38" s="72" t="str" cm="1">
        <f t="array" ref="I38">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38" s="72" t="str" cm="1">
        <f t="array" ref="J38">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38" s="72" t="str" cm="1">
        <f t="array" ref="K38">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38" s="72" t="str" cm="1">
        <f t="array" ref="L38">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38" s="72" t="str" cm="1">
        <f t="array" ref="M38">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38" s="72" t="str" cm="1">
        <f t="array" ref="N38">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38" s="72" t="str" cm="1">
        <f t="array" ref="O38">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38" s="72" t="str" cm="1">
        <f t="array" ref="P38">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38" s="72" t="str" cm="1">
        <f t="array" ref="Q38">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38" s="72" t="str" cm="1">
        <f t="array" ref="R38">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38" s="113"/>
      <c r="T38" s="113"/>
    </row>
    <row r="39" spans="2:20" s="190" customFormat="1" ht="28.5" customHeight="1" x14ac:dyDescent="0.25">
      <c r="B39" s="116" t="s">
        <v>100</v>
      </c>
      <c r="C39" s="120" t="s">
        <v>101</v>
      </c>
      <c r="D39" s="121"/>
      <c r="E39" s="121"/>
      <c r="F39" s="121"/>
      <c r="G39" s="122"/>
      <c r="H39" s="122"/>
      <c r="I39" s="72" t="str" cm="1">
        <f t="array" ref="I39">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39" s="72" t="str" cm="1">
        <f t="array" ref="J39">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39" s="72" t="str" cm="1">
        <f t="array" ref="K39">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39" s="72" t="str" cm="1">
        <f t="array" ref="L39">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39" s="72" t="str" cm="1">
        <f t="array" ref="M39">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39" s="72" t="str" cm="1">
        <f t="array" ref="N39">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39" s="72" t="str" cm="1">
        <f t="array" ref="O39">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39" s="72" t="str" cm="1">
        <f t="array" ref="P39">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39" s="72" t="str" cm="1">
        <f t="array" ref="Q39">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39" s="72" t="str" cm="1">
        <f t="array" ref="R39">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39" s="113"/>
      <c r="T39" s="113"/>
    </row>
    <row r="40" spans="2:20" s="190" customFormat="1" ht="16.5" customHeight="1" x14ac:dyDescent="0.25">
      <c r="B40" s="116" t="s">
        <v>102</v>
      </c>
      <c r="C40" s="124" t="s">
        <v>103</v>
      </c>
      <c r="D40" s="121"/>
      <c r="E40" s="121"/>
      <c r="F40" s="121"/>
      <c r="G40" s="122"/>
      <c r="H40" s="122"/>
      <c r="I40" s="183">
        <f>IF(IF(I36=$I$238,I37,IF(I36=$I$239,I37*I38,IF(I36=$I$240,I37*I38*I39,1)))=0,"Fyll i 2.6-2.8",IF(I36=$I$238,I37,IF(I36=$I$239,I37*I38,IF(I36=$I$240,I37*I38*I39,1))))</f>
        <v>1</v>
      </c>
      <c r="J40" s="183">
        <f t="shared" ref="J40:R40" si="1">IF(IF(J36=$I$238,J37,IF(J36=$I$239,J37*J38,IF(J36=$I$240,J37*J38*J39,1)))=0,"Fyll i 2.6-2.8",IF(J36=$I$238,J37,IF(J36=$I$239,J37*J38,IF(J36=$I$240,J37*J38*J39,1))))</f>
        <v>1</v>
      </c>
      <c r="K40" s="183">
        <f t="shared" si="1"/>
        <v>1</v>
      </c>
      <c r="L40" s="183">
        <f t="shared" si="1"/>
        <v>1</v>
      </c>
      <c r="M40" s="183">
        <f t="shared" si="1"/>
        <v>1</v>
      </c>
      <c r="N40" s="183">
        <f t="shared" si="1"/>
        <v>1</v>
      </c>
      <c r="O40" s="183">
        <f t="shared" si="1"/>
        <v>1</v>
      </c>
      <c r="P40" s="183">
        <f t="shared" si="1"/>
        <v>1</v>
      </c>
      <c r="Q40" s="183">
        <f t="shared" si="1"/>
        <v>1</v>
      </c>
      <c r="R40" s="183">
        <f t="shared" si="1"/>
        <v>1</v>
      </c>
      <c r="S40" s="113"/>
      <c r="T40" s="113"/>
    </row>
    <row r="41" spans="2:20" s="190" customFormat="1" ht="16.5" customHeight="1" x14ac:dyDescent="0.25">
      <c r="B41" s="116" t="s">
        <v>104</v>
      </c>
      <c r="C41" s="120" t="s">
        <v>105</v>
      </c>
      <c r="D41" s="121"/>
      <c r="E41" s="121"/>
      <c r="F41" s="121"/>
      <c r="G41" s="122"/>
      <c r="H41" s="122" t="s">
        <v>106</v>
      </c>
      <c r="I41" s="72"/>
      <c r="J41" s="72"/>
      <c r="K41" s="72"/>
      <c r="L41" s="72"/>
      <c r="M41" s="72"/>
      <c r="N41" s="72"/>
      <c r="O41" s="72"/>
      <c r="P41" s="72"/>
      <c r="Q41" s="72"/>
      <c r="R41" s="72"/>
      <c r="S41" s="113"/>
      <c r="T41" s="113"/>
    </row>
    <row r="42" spans="2:20" s="190" customFormat="1" ht="16.5" customHeight="1" x14ac:dyDescent="0.25">
      <c r="B42" s="116"/>
      <c r="C42" s="123"/>
      <c r="D42" s="123"/>
      <c r="E42" s="123"/>
      <c r="F42" s="123"/>
      <c r="G42" s="123"/>
      <c r="H42" s="123"/>
      <c r="I42" s="197"/>
      <c r="J42" s="197"/>
      <c r="K42" s="197"/>
      <c r="L42" s="197"/>
      <c r="M42" s="197"/>
      <c r="N42" s="197"/>
      <c r="O42" s="197"/>
      <c r="P42" s="197"/>
      <c r="Q42" s="197"/>
      <c r="R42" s="197"/>
      <c r="S42" s="113"/>
      <c r="T42" s="113"/>
    </row>
    <row r="43" spans="2:20" s="190" customFormat="1" ht="16.5" customHeight="1" x14ac:dyDescent="0.25">
      <c r="B43" s="116"/>
      <c r="C43" s="115" t="s">
        <v>107</v>
      </c>
      <c r="D43" s="123"/>
      <c r="E43" s="123"/>
      <c r="F43" s="123"/>
      <c r="G43" s="123"/>
      <c r="H43" s="123"/>
      <c r="I43" s="197"/>
      <c r="J43" s="197"/>
      <c r="K43" s="197"/>
      <c r="L43" s="197"/>
      <c r="M43" s="197"/>
      <c r="N43" s="197"/>
      <c r="O43" s="197"/>
      <c r="P43" s="197"/>
      <c r="Q43" s="197"/>
      <c r="R43" s="197"/>
      <c r="S43" s="113"/>
      <c r="T43" s="113"/>
    </row>
    <row r="44" spans="2:20" s="190" customFormat="1" ht="16.5" customHeight="1" x14ac:dyDescent="0.25">
      <c r="B44" s="116" t="s">
        <v>83</v>
      </c>
      <c r="C44" s="120" t="s">
        <v>84</v>
      </c>
      <c r="D44" s="121"/>
      <c r="E44" s="121"/>
      <c r="F44" s="121"/>
      <c r="G44" s="122"/>
      <c r="H44" s="122" t="s">
        <v>78</v>
      </c>
      <c r="I44" s="72"/>
      <c r="J44" s="72"/>
      <c r="K44" s="72"/>
      <c r="L44" s="72"/>
      <c r="M44" s="72"/>
      <c r="N44" s="72"/>
      <c r="O44" s="72"/>
      <c r="P44" s="72"/>
      <c r="Q44" s="72"/>
      <c r="R44" s="72"/>
      <c r="S44" s="113"/>
      <c r="T44" s="113"/>
    </row>
    <row r="45" spans="2:20" s="190" customFormat="1" ht="16.5" customHeight="1" x14ac:dyDescent="0.25">
      <c r="B45" s="116" t="s">
        <v>85</v>
      </c>
      <c r="C45" s="120" t="s">
        <v>86</v>
      </c>
      <c r="D45" s="121"/>
      <c r="E45" s="121"/>
      <c r="F45" s="121"/>
      <c r="G45" s="122"/>
      <c r="H45" s="122" t="s">
        <v>87</v>
      </c>
      <c r="I45" s="72"/>
      <c r="J45" s="72"/>
      <c r="K45" s="72"/>
      <c r="L45" s="72"/>
      <c r="M45" s="72"/>
      <c r="N45" s="72"/>
      <c r="O45" s="72"/>
      <c r="P45" s="72"/>
      <c r="Q45" s="72"/>
      <c r="R45" s="72"/>
      <c r="S45" s="113"/>
      <c r="T45" s="113"/>
    </row>
    <row r="46" spans="2:20" s="190" customFormat="1" ht="16.5" customHeight="1" x14ac:dyDescent="0.25">
      <c r="B46" s="116" t="s">
        <v>88</v>
      </c>
      <c r="C46" s="120" t="s">
        <v>89</v>
      </c>
      <c r="D46" s="121"/>
      <c r="E46" s="121"/>
      <c r="F46" s="121"/>
      <c r="G46" s="122"/>
      <c r="H46" s="122" t="s">
        <v>87</v>
      </c>
      <c r="I46" s="72"/>
      <c r="J46" s="72"/>
      <c r="K46" s="72"/>
      <c r="L46" s="72"/>
      <c r="M46" s="72"/>
      <c r="N46" s="72"/>
      <c r="O46" s="72"/>
      <c r="P46" s="72"/>
      <c r="Q46" s="72"/>
      <c r="R46" s="72"/>
      <c r="S46" s="113"/>
      <c r="T46" s="113"/>
    </row>
    <row r="47" spans="2:20" s="190" customFormat="1" ht="16.5" customHeight="1" x14ac:dyDescent="0.25">
      <c r="B47" s="116" t="s">
        <v>90</v>
      </c>
      <c r="C47" s="120" t="s">
        <v>91</v>
      </c>
      <c r="D47" s="121"/>
      <c r="E47" s="121"/>
      <c r="F47" s="121"/>
      <c r="G47" s="122"/>
      <c r="H47" s="122" t="s">
        <v>92</v>
      </c>
      <c r="I47" s="72"/>
      <c r="J47" s="72"/>
      <c r="K47" s="72"/>
      <c r="L47" s="72"/>
      <c r="M47" s="72"/>
      <c r="N47" s="72"/>
      <c r="O47" s="72"/>
      <c r="P47" s="72"/>
      <c r="Q47" s="72"/>
      <c r="R47" s="72"/>
      <c r="S47" s="113"/>
      <c r="T47" s="113"/>
    </row>
    <row r="48" spans="2:20" s="190" customFormat="1" ht="30" customHeight="1" x14ac:dyDescent="0.25">
      <c r="B48" s="116" t="s">
        <v>93</v>
      </c>
      <c r="C48" s="120" t="s">
        <v>94</v>
      </c>
      <c r="D48" s="121"/>
      <c r="E48" s="121"/>
      <c r="F48" s="121"/>
      <c r="G48" s="122"/>
      <c r="H48" s="122"/>
      <c r="I48" s="72" t="s">
        <v>95</v>
      </c>
      <c r="J48" s="72" t="s">
        <v>95</v>
      </c>
      <c r="K48" s="72" t="s">
        <v>95</v>
      </c>
      <c r="L48" s="72" t="s">
        <v>95</v>
      </c>
      <c r="M48" s="72" t="s">
        <v>95</v>
      </c>
      <c r="N48" s="72" t="s">
        <v>95</v>
      </c>
      <c r="O48" s="72" t="s">
        <v>95</v>
      </c>
      <c r="P48" s="72" t="s">
        <v>95</v>
      </c>
      <c r="Q48" s="72" t="s">
        <v>95</v>
      </c>
      <c r="R48" s="72" t="s">
        <v>95</v>
      </c>
      <c r="S48" s="113"/>
      <c r="T48" s="113"/>
    </row>
    <row r="49" spans="2:20" s="190" customFormat="1" ht="24.75" x14ac:dyDescent="0.25">
      <c r="B49" s="116" t="s">
        <v>96</v>
      </c>
      <c r="C49" s="120" t="s">
        <v>97</v>
      </c>
      <c r="D49" s="121"/>
      <c r="E49" s="121"/>
      <c r="F49" s="121"/>
      <c r="G49" s="122"/>
      <c r="H49" s="122"/>
      <c r="I49" s="72" t="str" cm="1">
        <f t="array" ref="I49">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49" s="72" t="str" cm="1">
        <f t="array" ref="J49">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49" s="72" t="str" cm="1">
        <f t="array" ref="K49">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49" s="72" t="str" cm="1">
        <f t="array" ref="L49">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49" s="72" t="str" cm="1">
        <f t="array" ref="M49">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49" s="72" t="str" cm="1">
        <f t="array" ref="N49">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49" s="72" t="str" cm="1">
        <f t="array" ref="O49">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49" s="72" t="str" cm="1">
        <f t="array" ref="P49">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49" s="72" t="str" cm="1">
        <f t="array" ref="Q49">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49" s="72" t="str" cm="1">
        <f t="array" ref="R49">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49" s="113"/>
      <c r="T49" s="113"/>
    </row>
    <row r="50" spans="2:20" s="190" customFormat="1" ht="24.75" x14ac:dyDescent="0.25">
      <c r="B50" s="116" t="s">
        <v>98</v>
      </c>
      <c r="C50" s="120" t="s">
        <v>99</v>
      </c>
      <c r="D50" s="121"/>
      <c r="E50" s="121"/>
      <c r="F50" s="121"/>
      <c r="G50" s="122"/>
      <c r="H50" s="122"/>
      <c r="I50" s="72" t="str" cm="1">
        <f t="array" ref="I50">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50" s="72" t="str" cm="1">
        <f t="array" ref="J50">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50" s="72" t="str" cm="1">
        <f t="array" ref="K50">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50" s="72" t="str" cm="1">
        <f t="array" ref="L50">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50" s="72" t="str" cm="1">
        <f t="array" ref="M50">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50" s="72" t="str" cm="1">
        <f t="array" ref="N50">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50" s="72" t="str" cm="1">
        <f t="array" ref="O50">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50" s="72" t="str" cm="1">
        <f t="array" ref="P50">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50" s="72" t="str" cm="1">
        <f t="array" ref="Q50">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50" s="72" t="str" cm="1">
        <f t="array" ref="R50">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50" s="113"/>
      <c r="T50" s="113"/>
    </row>
    <row r="51" spans="2:20" s="190" customFormat="1" ht="24.75" x14ac:dyDescent="0.25">
      <c r="B51" s="116" t="s">
        <v>100</v>
      </c>
      <c r="C51" s="120" t="s">
        <v>101</v>
      </c>
      <c r="D51" s="121"/>
      <c r="E51" s="121"/>
      <c r="F51" s="121"/>
      <c r="G51" s="122"/>
      <c r="H51" s="122"/>
      <c r="I51" s="72" t="str" cm="1">
        <f t="array" ref="I51">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51" s="72" t="str" cm="1">
        <f t="array" ref="J51">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51" s="72" t="str" cm="1">
        <f t="array" ref="K51">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51" s="72" t="str" cm="1">
        <f t="array" ref="L51">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51" s="72" t="str" cm="1">
        <f t="array" ref="M51">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51" s="72" t="str" cm="1">
        <f t="array" ref="N51">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51" s="72" t="str" cm="1">
        <f t="array" ref="O51">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51" s="72" t="str" cm="1">
        <f t="array" ref="P51">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51" s="72" t="str" cm="1">
        <f t="array" ref="Q51">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51" s="72" t="str" cm="1">
        <f t="array" ref="R51">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51" s="113"/>
      <c r="T51" s="113"/>
    </row>
    <row r="52" spans="2:20" s="190" customFormat="1" x14ac:dyDescent="0.25">
      <c r="B52" s="116" t="s">
        <v>102</v>
      </c>
      <c r="C52" s="124" t="s">
        <v>103</v>
      </c>
      <c r="D52" s="121"/>
      <c r="E52" s="121"/>
      <c r="F52" s="121"/>
      <c r="G52" s="122"/>
      <c r="H52" s="122"/>
      <c r="I52" s="183">
        <f>IF(IF(I48=$I$238,I49,IF(I48=$I$239,I49*I50,IF(I48=$I$240,I49*I50*I51,1)))=0,"Fyll i 2.6-2.8",IF(I48=$I$238,I49,IF(I48=$I$239,I49*I50,IF(I48=$I$240,I49*I50*I51,1))))</f>
        <v>1</v>
      </c>
      <c r="J52" s="183">
        <f t="shared" ref="J52:R52" si="2">IF(IF(J48=$I$238,J49,IF(J48=$I$239,J49*J50,IF(J48=$I$240,J49*J50*J51,1)))=0,"Fyll i 2.6-2.8",IF(J48=$I$238,J49,IF(J48=$I$239,J49*J50,IF(J48=$I$240,J49*J50*J51,1))))</f>
        <v>1</v>
      </c>
      <c r="K52" s="183">
        <f t="shared" si="2"/>
        <v>1</v>
      </c>
      <c r="L52" s="183">
        <f t="shared" si="2"/>
        <v>1</v>
      </c>
      <c r="M52" s="183">
        <f t="shared" si="2"/>
        <v>1</v>
      </c>
      <c r="N52" s="183">
        <f t="shared" si="2"/>
        <v>1</v>
      </c>
      <c r="O52" s="183">
        <f t="shared" si="2"/>
        <v>1</v>
      </c>
      <c r="P52" s="183">
        <f t="shared" si="2"/>
        <v>1</v>
      </c>
      <c r="Q52" s="183">
        <f t="shared" si="2"/>
        <v>1</v>
      </c>
      <c r="R52" s="183">
        <f t="shared" si="2"/>
        <v>1</v>
      </c>
      <c r="S52" s="113"/>
      <c r="T52" s="113"/>
    </row>
    <row r="53" spans="2:20" s="190" customFormat="1" ht="16.5" customHeight="1" x14ac:dyDescent="0.25">
      <c r="B53" s="116" t="s">
        <v>104</v>
      </c>
      <c r="C53" s="120" t="s">
        <v>105</v>
      </c>
      <c r="D53" s="121"/>
      <c r="E53" s="121"/>
      <c r="F53" s="121"/>
      <c r="G53" s="122"/>
      <c r="H53" s="122" t="s">
        <v>106</v>
      </c>
      <c r="I53" s="72"/>
      <c r="J53" s="72"/>
      <c r="K53" s="72"/>
      <c r="L53" s="72"/>
      <c r="M53" s="72"/>
      <c r="N53" s="72"/>
      <c r="O53" s="72"/>
      <c r="P53" s="72"/>
      <c r="Q53" s="72"/>
      <c r="R53" s="72"/>
      <c r="S53" s="113"/>
      <c r="T53" s="113"/>
    </row>
    <row r="54" spans="2:20" s="190" customFormat="1" ht="16.5" customHeight="1" x14ac:dyDescent="0.25">
      <c r="B54" s="116"/>
      <c r="C54" s="123"/>
      <c r="D54" s="123"/>
      <c r="E54" s="123"/>
      <c r="F54" s="123"/>
      <c r="G54" s="123"/>
      <c r="H54" s="123"/>
      <c r="I54" s="197"/>
      <c r="J54" s="197"/>
      <c r="K54" s="197"/>
      <c r="L54" s="197"/>
      <c r="M54" s="197"/>
      <c r="N54" s="197"/>
      <c r="O54" s="197"/>
      <c r="P54" s="197"/>
      <c r="Q54" s="197"/>
      <c r="R54" s="197"/>
      <c r="S54" s="113"/>
      <c r="T54" s="113"/>
    </row>
    <row r="55" spans="2:20" s="190" customFormat="1" ht="16.5" customHeight="1" x14ac:dyDescent="0.25">
      <c r="B55" s="116"/>
      <c r="C55" s="115" t="s">
        <v>108</v>
      </c>
      <c r="D55" s="123"/>
      <c r="E55" s="123"/>
      <c r="F55" s="123"/>
      <c r="G55" s="123"/>
      <c r="H55" s="123"/>
      <c r="I55" s="197"/>
      <c r="J55" s="197"/>
      <c r="K55" s="197"/>
      <c r="L55" s="197"/>
      <c r="M55" s="197"/>
      <c r="N55" s="197"/>
      <c r="O55" s="197"/>
      <c r="P55" s="197"/>
      <c r="Q55" s="197"/>
      <c r="R55" s="197"/>
      <c r="S55" s="113"/>
      <c r="T55" s="113"/>
    </row>
    <row r="56" spans="2:20" s="190" customFormat="1" ht="16.5" customHeight="1" x14ac:dyDescent="0.25">
      <c r="B56" s="116" t="s">
        <v>83</v>
      </c>
      <c r="C56" s="120" t="s">
        <v>84</v>
      </c>
      <c r="D56" s="121"/>
      <c r="E56" s="121"/>
      <c r="F56" s="121"/>
      <c r="G56" s="122"/>
      <c r="H56" s="122" t="s">
        <v>78</v>
      </c>
      <c r="I56" s="72"/>
      <c r="J56" s="72"/>
      <c r="K56" s="72"/>
      <c r="L56" s="72"/>
      <c r="M56" s="72"/>
      <c r="N56" s="72"/>
      <c r="O56" s="72"/>
      <c r="P56" s="72"/>
      <c r="Q56" s="72"/>
      <c r="R56" s="72"/>
      <c r="S56" s="113"/>
      <c r="T56" s="113"/>
    </row>
    <row r="57" spans="2:20" s="190" customFormat="1" ht="16.5" customHeight="1" x14ac:dyDescent="0.25">
      <c r="B57" s="116" t="s">
        <v>85</v>
      </c>
      <c r="C57" s="120" t="s">
        <v>86</v>
      </c>
      <c r="D57" s="121"/>
      <c r="E57" s="121"/>
      <c r="F57" s="121"/>
      <c r="G57" s="122"/>
      <c r="H57" s="122" t="s">
        <v>87</v>
      </c>
      <c r="I57" s="72"/>
      <c r="J57" s="72"/>
      <c r="K57" s="72"/>
      <c r="L57" s="72"/>
      <c r="M57" s="72"/>
      <c r="N57" s="72"/>
      <c r="O57" s="72"/>
      <c r="P57" s="72"/>
      <c r="Q57" s="72"/>
      <c r="R57" s="72"/>
      <c r="S57" s="113"/>
      <c r="T57" s="113"/>
    </row>
    <row r="58" spans="2:20" s="190" customFormat="1" ht="16.5" customHeight="1" x14ac:dyDescent="0.25">
      <c r="B58" s="116" t="s">
        <v>88</v>
      </c>
      <c r="C58" s="120" t="s">
        <v>89</v>
      </c>
      <c r="D58" s="121"/>
      <c r="E58" s="121"/>
      <c r="F58" s="121"/>
      <c r="G58" s="122"/>
      <c r="H58" s="122" t="s">
        <v>87</v>
      </c>
      <c r="I58" s="72"/>
      <c r="J58" s="72"/>
      <c r="K58" s="72"/>
      <c r="L58" s="72"/>
      <c r="M58" s="72"/>
      <c r="N58" s="72"/>
      <c r="O58" s="72"/>
      <c r="P58" s="72"/>
      <c r="Q58" s="72"/>
      <c r="R58" s="72"/>
      <c r="S58" s="113"/>
      <c r="T58" s="113"/>
    </row>
    <row r="59" spans="2:20" s="190" customFormat="1" ht="16.5" customHeight="1" x14ac:dyDescent="0.25">
      <c r="B59" s="116" t="s">
        <v>90</v>
      </c>
      <c r="C59" s="120" t="s">
        <v>91</v>
      </c>
      <c r="D59" s="121"/>
      <c r="E59" s="121"/>
      <c r="F59" s="121"/>
      <c r="G59" s="122"/>
      <c r="H59" s="122" t="s">
        <v>92</v>
      </c>
      <c r="I59" s="72"/>
      <c r="J59" s="72"/>
      <c r="K59" s="72"/>
      <c r="L59" s="72"/>
      <c r="M59" s="72"/>
      <c r="N59" s="72"/>
      <c r="O59" s="72"/>
      <c r="P59" s="72"/>
      <c r="Q59" s="72"/>
      <c r="R59" s="72"/>
      <c r="S59" s="113"/>
      <c r="T59" s="113"/>
    </row>
    <row r="60" spans="2:20" s="190" customFormat="1" ht="30" customHeight="1" x14ac:dyDescent="0.25">
      <c r="B60" s="116" t="s">
        <v>93</v>
      </c>
      <c r="C60" s="120" t="s">
        <v>94</v>
      </c>
      <c r="D60" s="121"/>
      <c r="E60" s="121"/>
      <c r="F60" s="121"/>
      <c r="G60" s="122"/>
      <c r="H60" s="122"/>
      <c r="I60" s="72" t="s">
        <v>95</v>
      </c>
      <c r="J60" s="72" t="s">
        <v>95</v>
      </c>
      <c r="K60" s="72" t="s">
        <v>95</v>
      </c>
      <c r="L60" s="72" t="s">
        <v>95</v>
      </c>
      <c r="M60" s="72" t="s">
        <v>95</v>
      </c>
      <c r="N60" s="72" t="s">
        <v>95</v>
      </c>
      <c r="O60" s="72" t="s">
        <v>95</v>
      </c>
      <c r="P60" s="72" t="s">
        <v>95</v>
      </c>
      <c r="Q60" s="72" t="s">
        <v>95</v>
      </c>
      <c r="R60" s="72" t="s">
        <v>95</v>
      </c>
      <c r="S60" s="113"/>
      <c r="T60" s="113"/>
    </row>
    <row r="61" spans="2:20" s="190" customFormat="1" ht="24.75" x14ac:dyDescent="0.25">
      <c r="B61" s="116" t="s">
        <v>96</v>
      </c>
      <c r="C61" s="120" t="s">
        <v>97</v>
      </c>
      <c r="D61" s="121"/>
      <c r="E61" s="121"/>
      <c r="F61" s="121"/>
      <c r="G61" s="122"/>
      <c r="H61" s="122"/>
      <c r="I61" s="72" t="str" cm="1">
        <f t="array" ref="I61">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61" s="72" t="str" cm="1">
        <f t="array" ref="J61">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61" s="72" t="str" cm="1">
        <f t="array" ref="K61">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61" s="72" t="str" cm="1">
        <f t="array" ref="L61">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61" s="72" t="str" cm="1">
        <f t="array" ref="M61">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61" s="72" t="str" cm="1">
        <f t="array" ref="N61">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61" s="72" t="str" cm="1">
        <f t="array" ref="O61">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61" s="72" t="str" cm="1">
        <f t="array" ref="P61">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61" s="72" t="str" cm="1">
        <f t="array" ref="Q61">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61" s="72" t="str" cm="1">
        <f t="array" ref="R61">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61" s="113"/>
      <c r="T61" s="113"/>
    </row>
    <row r="62" spans="2:20" s="190" customFormat="1" ht="24.75" x14ac:dyDescent="0.25">
      <c r="B62" s="116" t="s">
        <v>98</v>
      </c>
      <c r="C62" s="120" t="s">
        <v>99</v>
      </c>
      <c r="D62" s="121"/>
      <c r="E62" s="121"/>
      <c r="F62" s="121"/>
      <c r="G62" s="122"/>
      <c r="H62" s="122"/>
      <c r="I62" s="72" t="str" cm="1">
        <f t="array" ref="I62">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62" s="72" t="str" cm="1">
        <f t="array" ref="J62">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62" s="72" t="str" cm="1">
        <f t="array" ref="K62">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62" s="72" t="str" cm="1">
        <f t="array" ref="L62">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62" s="72" t="str" cm="1">
        <f t="array" ref="M62">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62" s="72" t="str" cm="1">
        <f t="array" ref="N62">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62" s="72" t="str" cm="1">
        <f t="array" ref="O62">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62" s="72" t="str" cm="1">
        <f t="array" ref="P62">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62" s="72" t="str" cm="1">
        <f t="array" ref="Q62">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62" s="72" t="str" cm="1">
        <f t="array" ref="R62">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62" s="113"/>
      <c r="T62" s="113"/>
    </row>
    <row r="63" spans="2:20" s="190" customFormat="1" ht="24.75" x14ac:dyDescent="0.25">
      <c r="B63" s="116" t="s">
        <v>100</v>
      </c>
      <c r="C63" s="120" t="s">
        <v>101</v>
      </c>
      <c r="D63" s="121"/>
      <c r="E63" s="121"/>
      <c r="F63" s="121"/>
      <c r="G63" s="122"/>
      <c r="H63" s="122"/>
      <c r="I63" s="72" t="str" cm="1">
        <f t="array" ref="I63">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63" s="72" t="str" cm="1">
        <f t="array" ref="J63">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63" s="72" t="str" cm="1">
        <f t="array" ref="K63">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63" s="72" t="str" cm="1">
        <f t="array" ref="L63">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63" s="72" t="str" cm="1">
        <f t="array" ref="M63">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63" s="72" t="str" cm="1">
        <f t="array" ref="N63">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63" s="72" t="str" cm="1">
        <f t="array" ref="O63">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63" s="72" t="str" cm="1">
        <f t="array" ref="P63">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63" s="72" t="str" cm="1">
        <f t="array" ref="Q63">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63" s="72" t="str" cm="1">
        <f t="array" ref="R63">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63" s="113"/>
      <c r="T63" s="113"/>
    </row>
    <row r="64" spans="2:20" s="190" customFormat="1" x14ac:dyDescent="0.25">
      <c r="B64" s="116" t="s">
        <v>102</v>
      </c>
      <c r="C64" s="124" t="s">
        <v>103</v>
      </c>
      <c r="D64" s="121"/>
      <c r="E64" s="121"/>
      <c r="F64" s="121"/>
      <c r="G64" s="122"/>
      <c r="H64" s="122"/>
      <c r="I64" s="183">
        <f>IF(IF(I60=$I$238,I61,IF(I60=$I$239,I61*I62,IF(I60=$I$240,I61*I62*I63,1)))=0,"Fyll i 2.6-2.8",IF(I60=$I$238,I61,IF(I60=$I$239,I61*I62,IF(I60=$I$240,I61*I62*I63,1))))</f>
        <v>1</v>
      </c>
      <c r="J64" s="183">
        <f t="shared" ref="J64:R64" si="3">IF(IF(J60=$I$238,J61,IF(J60=$I$239,J61*J62,IF(J60=$I$240,J61*J62*J63,1)))=0,"Fyll i 2.6-2.8",IF(J60=$I$238,J61,IF(J60=$I$239,J61*J62,IF(J60=$I$240,J61*J62*J63,1))))</f>
        <v>1</v>
      </c>
      <c r="K64" s="183">
        <f t="shared" si="3"/>
        <v>1</v>
      </c>
      <c r="L64" s="183">
        <f t="shared" si="3"/>
        <v>1</v>
      </c>
      <c r="M64" s="183">
        <f t="shared" si="3"/>
        <v>1</v>
      </c>
      <c r="N64" s="183">
        <f t="shared" si="3"/>
        <v>1</v>
      </c>
      <c r="O64" s="183">
        <f t="shared" si="3"/>
        <v>1</v>
      </c>
      <c r="P64" s="183">
        <f t="shared" si="3"/>
        <v>1</v>
      </c>
      <c r="Q64" s="183">
        <f t="shared" si="3"/>
        <v>1</v>
      </c>
      <c r="R64" s="183">
        <f t="shared" si="3"/>
        <v>1</v>
      </c>
      <c r="S64" s="113"/>
      <c r="T64" s="113"/>
    </row>
    <row r="65" spans="2:20" s="190" customFormat="1" ht="16.5" customHeight="1" x14ac:dyDescent="0.25">
      <c r="B65" s="116" t="s">
        <v>104</v>
      </c>
      <c r="C65" s="120" t="s">
        <v>105</v>
      </c>
      <c r="D65" s="121"/>
      <c r="E65" s="121"/>
      <c r="F65" s="121"/>
      <c r="G65" s="122"/>
      <c r="H65" s="122" t="s">
        <v>106</v>
      </c>
      <c r="I65" s="72"/>
      <c r="J65" s="72"/>
      <c r="K65" s="72"/>
      <c r="L65" s="72"/>
      <c r="M65" s="72"/>
      <c r="N65" s="72"/>
      <c r="O65" s="72"/>
      <c r="P65" s="72"/>
      <c r="Q65" s="72"/>
      <c r="R65" s="72"/>
      <c r="S65" s="113"/>
      <c r="T65" s="113"/>
    </row>
    <row r="66" spans="2:20" s="190" customFormat="1" ht="16.5" customHeight="1" x14ac:dyDescent="0.25">
      <c r="B66" s="116"/>
      <c r="C66" s="123"/>
      <c r="D66" s="123"/>
      <c r="E66" s="123"/>
      <c r="F66" s="123"/>
      <c r="G66" s="123"/>
      <c r="H66" s="123"/>
      <c r="I66" s="197"/>
      <c r="J66" s="197"/>
      <c r="K66" s="197"/>
      <c r="L66" s="197"/>
      <c r="M66" s="197"/>
      <c r="N66" s="197"/>
      <c r="O66" s="197"/>
      <c r="P66" s="197"/>
      <c r="Q66" s="197"/>
      <c r="R66" s="197"/>
      <c r="S66" s="113"/>
      <c r="T66" s="113"/>
    </row>
    <row r="67" spans="2:20" s="190" customFormat="1" ht="16.5" customHeight="1" x14ac:dyDescent="0.25">
      <c r="B67" s="116"/>
      <c r="C67" s="115" t="s">
        <v>109</v>
      </c>
      <c r="D67" s="123"/>
      <c r="E67" s="123"/>
      <c r="F67" s="123"/>
      <c r="G67" s="123"/>
      <c r="H67" s="123"/>
      <c r="I67" s="197"/>
      <c r="J67" s="197"/>
      <c r="K67" s="197"/>
      <c r="L67" s="197"/>
      <c r="M67" s="197"/>
      <c r="N67" s="197"/>
      <c r="O67" s="197"/>
      <c r="P67" s="197"/>
      <c r="Q67" s="197"/>
      <c r="R67" s="197"/>
      <c r="S67" s="113"/>
      <c r="T67" s="113"/>
    </row>
    <row r="68" spans="2:20" s="190" customFormat="1" ht="16.5" customHeight="1" x14ac:dyDescent="0.25">
      <c r="B68" s="116" t="s">
        <v>83</v>
      </c>
      <c r="C68" s="120" t="s">
        <v>84</v>
      </c>
      <c r="D68" s="121"/>
      <c r="E68" s="121"/>
      <c r="F68" s="121"/>
      <c r="G68" s="122"/>
      <c r="H68" s="122" t="s">
        <v>78</v>
      </c>
      <c r="I68" s="72"/>
      <c r="J68" s="72"/>
      <c r="K68" s="72"/>
      <c r="L68" s="72"/>
      <c r="M68" s="72"/>
      <c r="N68" s="72"/>
      <c r="O68" s="72"/>
      <c r="P68" s="72"/>
      <c r="Q68" s="72"/>
      <c r="R68" s="72"/>
      <c r="S68" s="113"/>
      <c r="T68" s="113"/>
    </row>
    <row r="69" spans="2:20" s="190" customFormat="1" ht="16.5" customHeight="1" x14ac:dyDescent="0.25">
      <c r="B69" s="116" t="s">
        <v>85</v>
      </c>
      <c r="C69" s="120" t="s">
        <v>86</v>
      </c>
      <c r="D69" s="121"/>
      <c r="E69" s="121"/>
      <c r="F69" s="121"/>
      <c r="G69" s="122"/>
      <c r="H69" s="122" t="s">
        <v>87</v>
      </c>
      <c r="I69" s="72"/>
      <c r="J69" s="72"/>
      <c r="K69" s="72"/>
      <c r="L69" s="72"/>
      <c r="M69" s="72"/>
      <c r="N69" s="72"/>
      <c r="O69" s="72"/>
      <c r="P69" s="72"/>
      <c r="Q69" s="72"/>
      <c r="R69" s="72"/>
      <c r="S69" s="113"/>
      <c r="T69" s="113"/>
    </row>
    <row r="70" spans="2:20" s="190" customFormat="1" ht="16.5" customHeight="1" x14ac:dyDescent="0.25">
      <c r="B70" s="116" t="s">
        <v>88</v>
      </c>
      <c r="C70" s="120" t="s">
        <v>89</v>
      </c>
      <c r="D70" s="121"/>
      <c r="E70" s="121"/>
      <c r="F70" s="121"/>
      <c r="G70" s="122"/>
      <c r="H70" s="122" t="s">
        <v>87</v>
      </c>
      <c r="I70" s="72"/>
      <c r="J70" s="72"/>
      <c r="K70" s="72"/>
      <c r="L70" s="72"/>
      <c r="M70" s="72"/>
      <c r="N70" s="72"/>
      <c r="O70" s="72"/>
      <c r="P70" s="72"/>
      <c r="Q70" s="72"/>
      <c r="R70" s="72"/>
      <c r="S70" s="113"/>
      <c r="T70" s="113"/>
    </row>
    <row r="71" spans="2:20" s="190" customFormat="1" ht="16.5" customHeight="1" x14ac:dyDescent="0.25">
      <c r="B71" s="116" t="s">
        <v>90</v>
      </c>
      <c r="C71" s="120" t="s">
        <v>91</v>
      </c>
      <c r="D71" s="121"/>
      <c r="E71" s="121"/>
      <c r="F71" s="121"/>
      <c r="G71" s="122"/>
      <c r="H71" s="122" t="s">
        <v>92</v>
      </c>
      <c r="I71" s="72"/>
      <c r="J71" s="72"/>
      <c r="K71" s="72"/>
      <c r="L71" s="72"/>
      <c r="M71" s="72"/>
      <c r="N71" s="72"/>
      <c r="O71" s="72"/>
      <c r="P71" s="72"/>
      <c r="Q71" s="72"/>
      <c r="R71" s="72"/>
      <c r="S71" s="113"/>
      <c r="T71" s="113"/>
    </row>
    <row r="72" spans="2:20" s="190" customFormat="1" ht="30" customHeight="1" x14ac:dyDescent="0.25">
      <c r="B72" s="116" t="s">
        <v>93</v>
      </c>
      <c r="C72" s="120" t="s">
        <v>94</v>
      </c>
      <c r="D72" s="121"/>
      <c r="E72" s="121"/>
      <c r="F72" s="121"/>
      <c r="G72" s="122"/>
      <c r="H72" s="122"/>
      <c r="I72" s="72" t="s">
        <v>95</v>
      </c>
      <c r="J72" s="72" t="s">
        <v>95</v>
      </c>
      <c r="K72" s="72" t="s">
        <v>95</v>
      </c>
      <c r="L72" s="72" t="s">
        <v>95</v>
      </c>
      <c r="M72" s="72" t="s">
        <v>95</v>
      </c>
      <c r="N72" s="72" t="s">
        <v>95</v>
      </c>
      <c r="O72" s="72" t="s">
        <v>95</v>
      </c>
      <c r="P72" s="72" t="s">
        <v>95</v>
      </c>
      <c r="Q72" s="72" t="s">
        <v>95</v>
      </c>
      <c r="R72" s="72" t="s">
        <v>95</v>
      </c>
      <c r="S72" s="113"/>
      <c r="T72" s="113"/>
    </row>
    <row r="73" spans="2:20" s="190" customFormat="1" ht="24.75" x14ac:dyDescent="0.25">
      <c r="B73" s="116" t="s">
        <v>96</v>
      </c>
      <c r="C73" s="120" t="s">
        <v>97</v>
      </c>
      <c r="D73" s="121"/>
      <c r="E73" s="121"/>
      <c r="F73" s="121"/>
      <c r="G73" s="122"/>
      <c r="H73" s="122"/>
      <c r="I73" s="72" t="str" cm="1">
        <f t="array" ref="I73">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73" s="72" t="str" cm="1">
        <f t="array" ref="J73">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73" s="72" t="str" cm="1">
        <f t="array" ref="K73">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73" s="72" t="str" cm="1">
        <f t="array" ref="L73">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73" s="72" t="str" cm="1">
        <f t="array" ref="M73">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73" s="72" t="str" cm="1">
        <f t="array" ref="N73">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73" s="72" t="str" cm="1">
        <f t="array" ref="O73">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73" s="72" t="str" cm="1">
        <f t="array" ref="P73">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73" s="72" t="str" cm="1">
        <f t="array" ref="Q73">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73" s="72" t="str" cm="1">
        <f t="array" ref="R73">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73" s="113"/>
      <c r="T73" s="113"/>
    </row>
    <row r="74" spans="2:20" s="190" customFormat="1" ht="24.75" x14ac:dyDescent="0.25">
      <c r="B74" s="116" t="s">
        <v>98</v>
      </c>
      <c r="C74" s="120" t="s">
        <v>99</v>
      </c>
      <c r="D74" s="121"/>
      <c r="E74" s="121"/>
      <c r="F74" s="121"/>
      <c r="G74" s="122"/>
      <c r="H74" s="122"/>
      <c r="I74" s="72" t="str" cm="1">
        <f t="array" ref="I74">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74" s="72" t="str" cm="1">
        <f t="array" ref="J74">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74" s="72" t="str" cm="1">
        <f t="array" ref="K74">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74" s="72" t="str" cm="1">
        <f t="array" ref="L74">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74" s="72" t="str" cm="1">
        <f t="array" ref="M74">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74" s="72" t="str" cm="1">
        <f t="array" ref="N74">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74" s="72" t="str" cm="1">
        <f t="array" ref="O74">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74" s="72" t="str" cm="1">
        <f t="array" ref="P74">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74" s="72" t="str" cm="1">
        <f t="array" ref="Q74">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74" s="72" t="str" cm="1">
        <f t="array" ref="R74">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74" s="113"/>
      <c r="T74" s="113"/>
    </row>
    <row r="75" spans="2:20" s="190" customFormat="1" ht="24.75" x14ac:dyDescent="0.25">
      <c r="B75" s="116" t="s">
        <v>100</v>
      </c>
      <c r="C75" s="120" t="s">
        <v>101</v>
      </c>
      <c r="D75" s="121"/>
      <c r="E75" s="121"/>
      <c r="F75" s="121"/>
      <c r="G75" s="122"/>
      <c r="H75" s="122"/>
      <c r="I75" s="72" t="str" cm="1">
        <f t="array" ref="I75">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75" s="72" t="str" cm="1">
        <f t="array" ref="J75">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75" s="72" t="str" cm="1">
        <f t="array" ref="K75">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75" s="72" t="str" cm="1">
        <f t="array" ref="L75">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75" s="72" t="str" cm="1">
        <f t="array" ref="M75">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75" s="72" t="str" cm="1">
        <f t="array" ref="N75">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75" s="72" t="str" cm="1">
        <f t="array" ref="O75">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75" s="72" t="str" cm="1">
        <f t="array" ref="P75">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75" s="72" t="str" cm="1">
        <f t="array" ref="Q75">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75" s="72" t="str" cm="1">
        <f t="array" ref="R75">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75" s="113"/>
      <c r="T75" s="113"/>
    </row>
    <row r="76" spans="2:20" s="190" customFormat="1" x14ac:dyDescent="0.25">
      <c r="B76" s="116" t="s">
        <v>102</v>
      </c>
      <c r="C76" s="124" t="s">
        <v>103</v>
      </c>
      <c r="D76" s="121"/>
      <c r="E76" s="121"/>
      <c r="F76" s="121"/>
      <c r="G76" s="122"/>
      <c r="H76" s="122"/>
      <c r="I76" s="183">
        <f>IF(IF(I72=$I$238,I73,IF(I72=$I$239,I73*I74,IF(I72=$I$240,I73*I74*I75,1)))=0,"Fyll i 2.6-2.8",IF(I72=$I$238,I73,IF(I72=$I$239,I73*I74,IF(I72=$I$240,I73*I74*I75,1))))</f>
        <v>1</v>
      </c>
      <c r="J76" s="183">
        <f t="shared" ref="J76:R76" si="4">IF(IF(J72=$I$238,J73,IF(J72=$I$239,J73*J74,IF(J72=$I$240,J73*J74*J75,1)))=0,"Fyll i 2.6-2.8",IF(J72=$I$238,J73,IF(J72=$I$239,J73*J74,IF(J72=$I$240,J73*J74*J75,1))))</f>
        <v>1</v>
      </c>
      <c r="K76" s="183">
        <f t="shared" si="4"/>
        <v>1</v>
      </c>
      <c r="L76" s="183">
        <f t="shared" si="4"/>
        <v>1</v>
      </c>
      <c r="M76" s="183">
        <f t="shared" si="4"/>
        <v>1</v>
      </c>
      <c r="N76" s="183">
        <f t="shared" si="4"/>
        <v>1</v>
      </c>
      <c r="O76" s="183">
        <f t="shared" si="4"/>
        <v>1</v>
      </c>
      <c r="P76" s="183">
        <f t="shared" si="4"/>
        <v>1</v>
      </c>
      <c r="Q76" s="183">
        <f t="shared" si="4"/>
        <v>1</v>
      </c>
      <c r="R76" s="183">
        <f t="shared" si="4"/>
        <v>1</v>
      </c>
      <c r="S76" s="113"/>
      <c r="T76" s="113"/>
    </row>
    <row r="77" spans="2:20" s="190" customFormat="1" ht="16.5" customHeight="1" x14ac:dyDescent="0.25">
      <c r="B77" s="116" t="s">
        <v>104</v>
      </c>
      <c r="C77" s="120" t="s">
        <v>105</v>
      </c>
      <c r="D77" s="121"/>
      <c r="E77" s="121"/>
      <c r="F77" s="121"/>
      <c r="G77" s="122"/>
      <c r="H77" s="122" t="s">
        <v>106</v>
      </c>
      <c r="I77" s="72"/>
      <c r="J77" s="72"/>
      <c r="K77" s="72"/>
      <c r="L77" s="72"/>
      <c r="M77" s="72"/>
      <c r="N77" s="72"/>
      <c r="O77" s="72"/>
      <c r="P77" s="72"/>
      <c r="Q77" s="72"/>
      <c r="R77" s="72"/>
      <c r="S77" s="113"/>
      <c r="T77" s="113"/>
    </row>
    <row r="78" spans="2:20" s="190" customFormat="1" ht="16.5" customHeight="1" x14ac:dyDescent="0.25">
      <c r="B78" s="116"/>
      <c r="C78" s="123"/>
      <c r="D78" s="123"/>
      <c r="E78" s="123"/>
      <c r="F78" s="123"/>
      <c r="G78" s="123"/>
      <c r="H78" s="123"/>
      <c r="I78" s="197"/>
      <c r="J78" s="197"/>
      <c r="K78" s="197"/>
      <c r="L78" s="197"/>
      <c r="M78" s="197"/>
      <c r="N78" s="197"/>
      <c r="O78" s="197"/>
      <c r="P78" s="197"/>
      <c r="Q78" s="197"/>
      <c r="R78" s="197"/>
      <c r="S78" s="113"/>
      <c r="T78" s="113"/>
    </row>
    <row r="79" spans="2:20" s="190" customFormat="1" ht="16.5" customHeight="1" x14ac:dyDescent="0.25">
      <c r="B79" s="116"/>
      <c r="C79" s="115" t="s">
        <v>110</v>
      </c>
      <c r="D79" s="123"/>
      <c r="E79" s="123"/>
      <c r="F79" s="123"/>
      <c r="G79" s="123"/>
      <c r="H79" s="123"/>
      <c r="I79" s="197"/>
      <c r="J79" s="197"/>
      <c r="K79" s="197"/>
      <c r="L79" s="197"/>
      <c r="M79" s="197"/>
      <c r="N79" s="197"/>
      <c r="O79" s="197"/>
      <c r="P79" s="197"/>
      <c r="Q79" s="197"/>
      <c r="R79" s="197"/>
      <c r="S79" s="113"/>
      <c r="T79" s="113"/>
    </row>
    <row r="80" spans="2:20" s="190" customFormat="1" ht="16.5" customHeight="1" x14ac:dyDescent="0.25">
      <c r="B80" s="116" t="s">
        <v>83</v>
      </c>
      <c r="C80" s="120" t="s">
        <v>84</v>
      </c>
      <c r="D80" s="121"/>
      <c r="E80" s="121"/>
      <c r="F80" s="121"/>
      <c r="G80" s="122"/>
      <c r="H80" s="122" t="s">
        <v>78</v>
      </c>
      <c r="I80" s="72"/>
      <c r="J80" s="72"/>
      <c r="K80" s="72"/>
      <c r="L80" s="72"/>
      <c r="M80" s="72"/>
      <c r="N80" s="72"/>
      <c r="O80" s="72"/>
      <c r="P80" s="72"/>
      <c r="Q80" s="72"/>
      <c r="R80" s="72"/>
      <c r="S80" s="113"/>
      <c r="T80" s="113"/>
    </row>
    <row r="81" spans="2:20" s="190" customFormat="1" ht="16.5" customHeight="1" x14ac:dyDescent="0.25">
      <c r="B81" s="116" t="s">
        <v>85</v>
      </c>
      <c r="C81" s="120" t="s">
        <v>86</v>
      </c>
      <c r="D81" s="121"/>
      <c r="E81" s="121"/>
      <c r="F81" s="121"/>
      <c r="G81" s="122"/>
      <c r="H81" s="122" t="s">
        <v>87</v>
      </c>
      <c r="I81" s="72"/>
      <c r="J81" s="72"/>
      <c r="K81" s="72"/>
      <c r="L81" s="72"/>
      <c r="M81" s="72"/>
      <c r="N81" s="72"/>
      <c r="O81" s="72"/>
      <c r="P81" s="72"/>
      <c r="Q81" s="72"/>
      <c r="R81" s="72"/>
      <c r="S81" s="113"/>
      <c r="T81" s="113"/>
    </row>
    <row r="82" spans="2:20" s="190" customFormat="1" ht="16.5" customHeight="1" x14ac:dyDescent="0.25">
      <c r="B82" s="116" t="s">
        <v>88</v>
      </c>
      <c r="C82" s="120" t="s">
        <v>89</v>
      </c>
      <c r="D82" s="121"/>
      <c r="E82" s="121"/>
      <c r="F82" s="121"/>
      <c r="G82" s="122"/>
      <c r="H82" s="122" t="s">
        <v>87</v>
      </c>
      <c r="I82" s="72"/>
      <c r="J82" s="72"/>
      <c r="K82" s="72"/>
      <c r="L82" s="72"/>
      <c r="M82" s="72"/>
      <c r="N82" s="72"/>
      <c r="O82" s="72"/>
      <c r="P82" s="72"/>
      <c r="Q82" s="72"/>
      <c r="R82" s="72"/>
      <c r="S82" s="113"/>
      <c r="T82" s="113"/>
    </row>
    <row r="83" spans="2:20" s="190" customFormat="1" ht="16.5" customHeight="1" x14ac:dyDescent="0.25">
      <c r="B83" s="116" t="s">
        <v>90</v>
      </c>
      <c r="C83" s="120" t="s">
        <v>91</v>
      </c>
      <c r="D83" s="121"/>
      <c r="E83" s="121"/>
      <c r="F83" s="121"/>
      <c r="G83" s="122"/>
      <c r="H83" s="122" t="s">
        <v>92</v>
      </c>
      <c r="I83" s="72"/>
      <c r="J83" s="72"/>
      <c r="K83" s="72"/>
      <c r="L83" s="72"/>
      <c r="M83" s="72"/>
      <c r="N83" s="72"/>
      <c r="O83" s="72"/>
      <c r="P83" s="72"/>
      <c r="Q83" s="72"/>
      <c r="R83" s="72"/>
      <c r="S83" s="113"/>
      <c r="T83" s="113"/>
    </row>
    <row r="84" spans="2:20" s="198" customFormat="1" ht="30" customHeight="1" x14ac:dyDescent="0.25">
      <c r="B84" s="125" t="s">
        <v>93</v>
      </c>
      <c r="C84" s="120" t="s">
        <v>94</v>
      </c>
      <c r="D84" s="126"/>
      <c r="E84" s="126"/>
      <c r="F84" s="126"/>
      <c r="G84" s="127"/>
      <c r="H84" s="127"/>
      <c r="I84" s="72" t="s">
        <v>95</v>
      </c>
      <c r="J84" s="72" t="s">
        <v>95</v>
      </c>
      <c r="K84" s="72" t="s">
        <v>95</v>
      </c>
      <c r="L84" s="72" t="s">
        <v>95</v>
      </c>
      <c r="M84" s="72" t="s">
        <v>95</v>
      </c>
      <c r="N84" s="72" t="s">
        <v>95</v>
      </c>
      <c r="O84" s="72" t="s">
        <v>95</v>
      </c>
      <c r="P84" s="72" t="s">
        <v>95</v>
      </c>
      <c r="Q84" s="72" t="s">
        <v>95</v>
      </c>
      <c r="R84" s="72" t="s">
        <v>95</v>
      </c>
      <c r="S84" s="113"/>
      <c r="T84" s="113"/>
    </row>
    <row r="85" spans="2:20" s="190" customFormat="1" ht="24.75" x14ac:dyDescent="0.25">
      <c r="B85" s="116" t="s">
        <v>96</v>
      </c>
      <c r="C85" s="120" t="s">
        <v>97</v>
      </c>
      <c r="D85" s="121"/>
      <c r="E85" s="121"/>
      <c r="F85" s="121"/>
      <c r="G85" s="122"/>
      <c r="H85" s="122"/>
      <c r="I85" s="72" t="str" cm="1">
        <f t="array" ref="I85">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85" s="72" t="str" cm="1">
        <f t="array" ref="J85">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85" s="72" t="str" cm="1">
        <f t="array" ref="K85">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85" s="72" t="str" cm="1">
        <f t="array" ref="L85">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85" s="72" t="str" cm="1">
        <f t="array" ref="M85">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85" s="72" t="str" cm="1">
        <f t="array" ref="N85">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85" s="72" t="str" cm="1">
        <f t="array" ref="O85">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85" s="72" t="str" cm="1">
        <f t="array" ref="P85">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85" s="72" t="str" cm="1">
        <f t="array" ref="Q85">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85" s="72" t="str" cm="1">
        <f t="array" ref="R85">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85" s="113"/>
      <c r="T85" s="113"/>
    </row>
    <row r="86" spans="2:20" s="190" customFormat="1" ht="24.75" x14ac:dyDescent="0.25">
      <c r="B86" s="116" t="s">
        <v>98</v>
      </c>
      <c r="C86" s="120" t="s">
        <v>99</v>
      </c>
      <c r="D86" s="121"/>
      <c r="E86" s="121"/>
      <c r="F86" s="121"/>
      <c r="G86" s="122"/>
      <c r="H86" s="122"/>
      <c r="I86" s="72" t="str" cm="1">
        <f t="array" ref="I86">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86" s="72" t="str" cm="1">
        <f t="array" ref="J86">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86" s="72" t="str" cm="1">
        <f t="array" ref="K86">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86" s="72" t="str" cm="1">
        <f t="array" ref="L86">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86" s="72" t="str" cm="1">
        <f t="array" ref="M86">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86" s="72" t="str" cm="1">
        <f t="array" ref="N86">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86" s="72" t="str" cm="1">
        <f t="array" ref="O86">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86" s="72" t="str" cm="1">
        <f t="array" ref="P86">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86" s="72" t="str" cm="1">
        <f t="array" ref="Q86">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86" s="72" t="str" cm="1">
        <f t="array" ref="R86">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86" s="113"/>
      <c r="T86" s="113"/>
    </row>
    <row r="87" spans="2:20" s="190" customFormat="1" ht="24.75" x14ac:dyDescent="0.25">
      <c r="B87" s="116" t="s">
        <v>100</v>
      </c>
      <c r="C87" s="120" t="s">
        <v>101</v>
      </c>
      <c r="D87" s="121"/>
      <c r="E87" s="121"/>
      <c r="F87" s="121"/>
      <c r="G87" s="122"/>
      <c r="H87" s="122"/>
      <c r="I87" s="72" t="str" cm="1">
        <f t="array" ref="I87">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87" s="72" t="str" cm="1">
        <f t="array" ref="J87">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87" s="72" t="str" cm="1">
        <f t="array" ref="K87">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87" s="72" t="str" cm="1">
        <f t="array" ref="L87">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87" s="72" t="str" cm="1">
        <f t="array" ref="M87">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87" s="72" t="str" cm="1">
        <f t="array" ref="N87">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87" s="72" t="str" cm="1">
        <f t="array" ref="O87">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87" s="72" t="str" cm="1">
        <f t="array" ref="P87">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87" s="72" t="str" cm="1">
        <f t="array" ref="Q87">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87" s="72" t="str" cm="1">
        <f t="array" ref="R87">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87" s="113"/>
      <c r="T87" s="113"/>
    </row>
    <row r="88" spans="2:20" s="190" customFormat="1" ht="16.5" customHeight="1" x14ac:dyDescent="0.25">
      <c r="B88" s="116" t="s">
        <v>102</v>
      </c>
      <c r="C88" s="124" t="s">
        <v>103</v>
      </c>
      <c r="D88" s="121"/>
      <c r="E88" s="121"/>
      <c r="F88" s="121"/>
      <c r="G88" s="122"/>
      <c r="H88" s="122"/>
      <c r="I88" s="183">
        <f>IF(IF(I84=$I$238,I85,IF(I84=$I$239,I85*I86,IF(I84=$I$240,I85*I86*I87,1)))=0,"Fyll i 2.6-2.8",IF(I84=$I$238,I85,IF(I84=$I$239,I85*I86,IF(I84=$I$240,I85*I86*I87,1))))</f>
        <v>1</v>
      </c>
      <c r="J88" s="183">
        <f t="shared" ref="J88:R88" si="5">IF(IF(J84=$I$238,J85,IF(J84=$I$239,J85*J86,IF(J84=$I$240,J85*J86*J87,1)))=0,"Fyll i 2.6-2.8",IF(J84=$I$238,J85,IF(J84=$I$239,J85*J86,IF(J84=$I$240,J85*J86*J87,1))))</f>
        <v>1</v>
      </c>
      <c r="K88" s="183">
        <f t="shared" si="5"/>
        <v>1</v>
      </c>
      <c r="L88" s="183">
        <f t="shared" si="5"/>
        <v>1</v>
      </c>
      <c r="M88" s="183">
        <f t="shared" si="5"/>
        <v>1</v>
      </c>
      <c r="N88" s="183">
        <f t="shared" si="5"/>
        <v>1</v>
      </c>
      <c r="O88" s="183">
        <f t="shared" si="5"/>
        <v>1</v>
      </c>
      <c r="P88" s="183">
        <f t="shared" si="5"/>
        <v>1</v>
      </c>
      <c r="Q88" s="183">
        <f t="shared" si="5"/>
        <v>1</v>
      </c>
      <c r="R88" s="183">
        <f t="shared" si="5"/>
        <v>1</v>
      </c>
      <c r="S88" s="113"/>
      <c r="T88" s="113"/>
    </row>
    <row r="89" spans="2:20" s="190" customFormat="1" ht="16.5" customHeight="1" x14ac:dyDescent="0.25">
      <c r="B89" s="116" t="s">
        <v>104</v>
      </c>
      <c r="C89" s="120" t="s">
        <v>105</v>
      </c>
      <c r="D89" s="121"/>
      <c r="E89" s="121"/>
      <c r="F89" s="121"/>
      <c r="G89" s="122"/>
      <c r="H89" s="122" t="s">
        <v>106</v>
      </c>
      <c r="I89" s="72"/>
      <c r="J89" s="72"/>
      <c r="K89" s="72"/>
      <c r="L89" s="72"/>
      <c r="M89" s="72"/>
      <c r="N89" s="72"/>
      <c r="O89" s="72"/>
      <c r="P89" s="72"/>
      <c r="Q89" s="72"/>
      <c r="R89" s="72"/>
      <c r="S89" s="113"/>
      <c r="T89" s="113"/>
    </row>
    <row r="90" spans="2:20" s="190" customFormat="1" ht="16.5" customHeight="1" x14ac:dyDescent="0.25">
      <c r="B90" s="116"/>
      <c r="C90" s="123"/>
      <c r="D90" s="123"/>
      <c r="E90" s="123"/>
      <c r="F90" s="123"/>
      <c r="G90" s="123"/>
      <c r="H90" s="123"/>
      <c r="I90" s="197"/>
      <c r="J90" s="197"/>
      <c r="K90" s="197"/>
      <c r="L90" s="197"/>
      <c r="M90" s="197"/>
      <c r="N90" s="197"/>
      <c r="O90" s="197"/>
      <c r="P90" s="197"/>
      <c r="Q90" s="197"/>
      <c r="R90" s="197"/>
      <c r="S90" s="113"/>
      <c r="T90" s="113"/>
    </row>
    <row r="91" spans="2:20" s="190" customFormat="1" ht="16.5" customHeight="1" x14ac:dyDescent="0.25">
      <c r="B91" s="116"/>
      <c r="C91" s="115" t="s">
        <v>111</v>
      </c>
      <c r="D91" s="123"/>
      <c r="E91" s="123"/>
      <c r="F91" s="123"/>
      <c r="G91" s="123"/>
      <c r="H91" s="123"/>
      <c r="I91" s="197"/>
      <c r="J91" s="197"/>
      <c r="K91" s="197"/>
      <c r="L91" s="197"/>
      <c r="M91" s="197"/>
      <c r="N91" s="197"/>
      <c r="O91" s="197"/>
      <c r="P91" s="197"/>
      <c r="Q91" s="197"/>
      <c r="R91" s="197"/>
      <c r="S91" s="113"/>
      <c r="T91" s="113"/>
    </row>
    <row r="92" spans="2:20" s="190" customFormat="1" ht="16.5" customHeight="1" x14ac:dyDescent="0.25">
      <c r="B92" s="116" t="s">
        <v>83</v>
      </c>
      <c r="C92" s="120" t="s">
        <v>84</v>
      </c>
      <c r="D92" s="121"/>
      <c r="E92" s="121"/>
      <c r="F92" s="121"/>
      <c r="G92" s="122"/>
      <c r="H92" s="122" t="s">
        <v>78</v>
      </c>
      <c r="I92" s="72"/>
      <c r="J92" s="72"/>
      <c r="K92" s="72"/>
      <c r="L92" s="72"/>
      <c r="M92" s="72"/>
      <c r="N92" s="72"/>
      <c r="O92" s="72"/>
      <c r="P92" s="72"/>
      <c r="Q92" s="72"/>
      <c r="R92" s="72"/>
      <c r="S92" s="113"/>
      <c r="T92" s="113"/>
    </row>
    <row r="93" spans="2:20" s="190" customFormat="1" ht="16.5" customHeight="1" x14ac:dyDescent="0.25">
      <c r="B93" s="116" t="s">
        <v>85</v>
      </c>
      <c r="C93" s="120" t="s">
        <v>86</v>
      </c>
      <c r="D93" s="121"/>
      <c r="E93" s="121"/>
      <c r="F93" s="121"/>
      <c r="G93" s="122"/>
      <c r="H93" s="122" t="s">
        <v>87</v>
      </c>
      <c r="I93" s="72"/>
      <c r="J93" s="72"/>
      <c r="K93" s="72"/>
      <c r="L93" s="72"/>
      <c r="M93" s="72"/>
      <c r="N93" s="72"/>
      <c r="O93" s="72"/>
      <c r="P93" s="72"/>
      <c r="Q93" s="72"/>
      <c r="R93" s="72"/>
      <c r="S93" s="113"/>
      <c r="T93" s="113"/>
    </row>
    <row r="94" spans="2:20" s="190" customFormat="1" ht="16.5" customHeight="1" x14ac:dyDescent="0.25">
      <c r="B94" s="116" t="s">
        <v>88</v>
      </c>
      <c r="C94" s="120" t="s">
        <v>89</v>
      </c>
      <c r="D94" s="121"/>
      <c r="E94" s="121"/>
      <c r="F94" s="121"/>
      <c r="G94" s="122"/>
      <c r="H94" s="122" t="s">
        <v>87</v>
      </c>
      <c r="I94" s="72"/>
      <c r="J94" s="72"/>
      <c r="K94" s="72"/>
      <c r="L94" s="72"/>
      <c r="M94" s="72"/>
      <c r="N94" s="72"/>
      <c r="O94" s="72"/>
      <c r="P94" s="72"/>
      <c r="Q94" s="72"/>
      <c r="R94" s="72"/>
      <c r="S94" s="113"/>
      <c r="T94" s="113"/>
    </row>
    <row r="95" spans="2:20" s="190" customFormat="1" ht="16.5" customHeight="1" x14ac:dyDescent="0.25">
      <c r="B95" s="116" t="s">
        <v>90</v>
      </c>
      <c r="C95" s="120" t="s">
        <v>91</v>
      </c>
      <c r="D95" s="121"/>
      <c r="E95" s="121"/>
      <c r="F95" s="121"/>
      <c r="G95" s="122"/>
      <c r="H95" s="122" t="s">
        <v>92</v>
      </c>
      <c r="I95" s="72"/>
      <c r="J95" s="72"/>
      <c r="K95" s="72"/>
      <c r="L95" s="72"/>
      <c r="M95" s="72"/>
      <c r="N95" s="72"/>
      <c r="O95" s="72"/>
      <c r="P95" s="72"/>
      <c r="Q95" s="72"/>
      <c r="R95" s="72"/>
      <c r="S95" s="113"/>
      <c r="T95" s="113"/>
    </row>
    <row r="96" spans="2:20" s="198" customFormat="1" ht="30" customHeight="1" x14ac:dyDescent="0.25">
      <c r="B96" s="125" t="s">
        <v>93</v>
      </c>
      <c r="C96" s="120" t="s">
        <v>94</v>
      </c>
      <c r="D96" s="126"/>
      <c r="E96" s="126"/>
      <c r="F96" s="126"/>
      <c r="G96" s="127"/>
      <c r="H96" s="127"/>
      <c r="I96" s="72" t="s">
        <v>95</v>
      </c>
      <c r="J96" s="72" t="s">
        <v>95</v>
      </c>
      <c r="K96" s="72" t="s">
        <v>95</v>
      </c>
      <c r="L96" s="72" t="s">
        <v>95</v>
      </c>
      <c r="M96" s="72" t="s">
        <v>95</v>
      </c>
      <c r="N96" s="72" t="s">
        <v>95</v>
      </c>
      <c r="O96" s="72" t="s">
        <v>95</v>
      </c>
      <c r="P96" s="72" t="s">
        <v>95</v>
      </c>
      <c r="Q96" s="72" t="s">
        <v>95</v>
      </c>
      <c r="R96" s="72" t="s">
        <v>95</v>
      </c>
      <c r="S96" s="113"/>
      <c r="T96" s="113"/>
    </row>
    <row r="97" spans="2:20" s="190" customFormat="1" ht="24.75" x14ac:dyDescent="0.25">
      <c r="B97" s="116" t="s">
        <v>96</v>
      </c>
      <c r="C97" s="120" t="s">
        <v>97</v>
      </c>
      <c r="D97" s="121"/>
      <c r="E97" s="121"/>
      <c r="F97" s="121"/>
      <c r="G97" s="122"/>
      <c r="H97" s="122"/>
      <c r="I97" s="72" t="str" cm="1">
        <f t="array" ref="I97">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97" s="72" t="str" cm="1">
        <f t="array" ref="J97">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97" s="72" t="str" cm="1">
        <f t="array" ref="K97">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97" s="72" t="str" cm="1">
        <f t="array" ref="L97">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97" s="72" t="str" cm="1">
        <f t="array" ref="M97">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97" s="72" t="str" cm="1">
        <f t="array" ref="N97">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97" s="72" t="str" cm="1">
        <f t="array" ref="O97">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97" s="72" t="str" cm="1">
        <f t="array" ref="P97">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97" s="72" t="str" cm="1">
        <f t="array" ref="Q97">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97" s="72" t="str" cm="1">
        <f t="array" ref="R97">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97" s="113"/>
      <c r="T97" s="113"/>
    </row>
    <row r="98" spans="2:20" s="190" customFormat="1" ht="24.75" x14ac:dyDescent="0.25">
      <c r="B98" s="116" t="s">
        <v>98</v>
      </c>
      <c r="C98" s="120" t="s">
        <v>99</v>
      </c>
      <c r="D98" s="121"/>
      <c r="E98" s="121"/>
      <c r="F98" s="121"/>
      <c r="G98" s="122"/>
      <c r="H98" s="122"/>
      <c r="I98" s="72" t="str" cm="1">
        <f t="array" ref="I98">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98" s="72" t="str" cm="1">
        <f t="array" ref="J98">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98" s="72" t="str" cm="1">
        <f t="array" ref="K98">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98" s="72" t="str" cm="1">
        <f t="array" ref="L98">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98" s="72" t="str" cm="1">
        <f t="array" ref="M98">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98" s="72" t="str" cm="1">
        <f t="array" ref="N98">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98" s="72" t="str" cm="1">
        <f t="array" ref="O98">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98" s="72" t="str" cm="1">
        <f t="array" ref="P98">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98" s="72" t="str" cm="1">
        <f t="array" ref="Q98">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98" s="72" t="str" cm="1">
        <f t="array" ref="R98">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98" s="113"/>
      <c r="T98" s="113"/>
    </row>
    <row r="99" spans="2:20" s="190" customFormat="1" ht="24.75" x14ac:dyDescent="0.25">
      <c r="B99" s="116" t="s">
        <v>100</v>
      </c>
      <c r="C99" s="120" t="s">
        <v>101</v>
      </c>
      <c r="D99" s="121"/>
      <c r="E99" s="121"/>
      <c r="F99" s="121"/>
      <c r="G99" s="122"/>
      <c r="H99" s="122"/>
      <c r="I99" s="72" t="str" cm="1">
        <f t="array" ref="I99">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99" s="72" t="str" cm="1">
        <f t="array" ref="J99">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99" s="72" t="str" cm="1">
        <f t="array" ref="K99">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99" s="72" t="str" cm="1">
        <f t="array" ref="L99">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99" s="72" t="str" cm="1">
        <f t="array" ref="M99">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99" s="72" t="str" cm="1">
        <f t="array" ref="N99">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99" s="72" t="str" cm="1">
        <f t="array" ref="O99">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99" s="72" t="str" cm="1">
        <f t="array" ref="P99">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99" s="72" t="str" cm="1">
        <f t="array" ref="Q99">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99" s="72" t="str" cm="1">
        <f t="array" ref="R99">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99" s="113"/>
      <c r="T99" s="113"/>
    </row>
    <row r="100" spans="2:20" s="190" customFormat="1" x14ac:dyDescent="0.25">
      <c r="B100" s="116" t="s">
        <v>102</v>
      </c>
      <c r="C100" s="124" t="s">
        <v>103</v>
      </c>
      <c r="D100" s="121"/>
      <c r="E100" s="121"/>
      <c r="F100" s="121"/>
      <c r="G100" s="122"/>
      <c r="H100" s="122"/>
      <c r="I100" s="183">
        <f>IF(IF(I96=$I$238,I97,IF(I96=$I$239,I97*I98,IF(I96=$I$240,I97*I98*I99,1)))=0,"Fyll i 2.6-2.8",IF(I96=$I$238,I97,IF(I96=$I$239,I97*I98,IF(I96=$I$240,I97*I98*I99,1))))</f>
        <v>1</v>
      </c>
      <c r="J100" s="183">
        <f t="shared" ref="J100:R100" si="6">IF(IF(J96=$I$238,J97,IF(J96=$I$239,J97*J98,IF(J96=$I$240,J97*J98*J99,1)))=0,"Fyll i 2.6-2.8",IF(J96=$I$238,J97,IF(J96=$I$239,J97*J98,IF(J96=$I$240,J97*J98*J99,1))))</f>
        <v>1</v>
      </c>
      <c r="K100" s="183">
        <f t="shared" si="6"/>
        <v>1</v>
      </c>
      <c r="L100" s="183">
        <f t="shared" si="6"/>
        <v>1</v>
      </c>
      <c r="M100" s="183">
        <f t="shared" si="6"/>
        <v>1</v>
      </c>
      <c r="N100" s="183">
        <f t="shared" si="6"/>
        <v>1</v>
      </c>
      <c r="O100" s="183">
        <f t="shared" si="6"/>
        <v>1</v>
      </c>
      <c r="P100" s="183">
        <f t="shared" si="6"/>
        <v>1</v>
      </c>
      <c r="Q100" s="183">
        <f t="shared" si="6"/>
        <v>1</v>
      </c>
      <c r="R100" s="183">
        <f t="shared" si="6"/>
        <v>1</v>
      </c>
      <c r="S100" s="113"/>
      <c r="T100" s="113"/>
    </row>
    <row r="101" spans="2:20" s="190" customFormat="1" ht="16.5" customHeight="1" x14ac:dyDescent="0.25">
      <c r="B101" s="116" t="s">
        <v>104</v>
      </c>
      <c r="C101" s="120" t="s">
        <v>105</v>
      </c>
      <c r="D101" s="121"/>
      <c r="E101" s="121"/>
      <c r="F101" s="121"/>
      <c r="G101" s="122"/>
      <c r="H101" s="122" t="s">
        <v>106</v>
      </c>
      <c r="I101" s="72"/>
      <c r="J101" s="72"/>
      <c r="K101" s="72"/>
      <c r="L101" s="72"/>
      <c r="M101" s="72"/>
      <c r="N101" s="72"/>
      <c r="O101" s="72"/>
      <c r="P101" s="72"/>
      <c r="Q101" s="72"/>
      <c r="R101" s="72"/>
      <c r="S101" s="113"/>
      <c r="T101" s="113"/>
    </row>
    <row r="102" spans="2:20" s="190" customFormat="1" ht="16.5" customHeight="1" x14ac:dyDescent="0.25">
      <c r="B102" s="116"/>
      <c r="C102" s="123"/>
      <c r="D102" s="123"/>
      <c r="E102" s="123"/>
      <c r="F102" s="123"/>
      <c r="G102" s="123"/>
      <c r="H102" s="123"/>
      <c r="I102" s="197"/>
      <c r="J102" s="197"/>
      <c r="K102" s="197"/>
      <c r="L102" s="197"/>
      <c r="M102" s="197"/>
      <c r="N102" s="197"/>
      <c r="O102" s="197"/>
      <c r="P102" s="197"/>
      <c r="Q102" s="197"/>
      <c r="R102" s="197"/>
      <c r="S102" s="113"/>
      <c r="T102" s="113"/>
    </row>
    <row r="103" spans="2:20" s="190" customFormat="1" ht="16.5" customHeight="1" x14ac:dyDescent="0.25">
      <c r="B103" s="116"/>
      <c r="C103" s="115" t="s">
        <v>112</v>
      </c>
      <c r="D103" s="123"/>
      <c r="E103" s="123"/>
      <c r="F103" s="123"/>
      <c r="G103" s="123"/>
      <c r="H103" s="123"/>
      <c r="I103" s="197"/>
      <c r="J103" s="197"/>
      <c r="K103" s="197"/>
      <c r="L103" s="197"/>
      <c r="M103" s="197"/>
      <c r="N103" s="197"/>
      <c r="O103" s="197"/>
      <c r="P103" s="197"/>
      <c r="Q103" s="197"/>
      <c r="R103" s="197"/>
      <c r="S103" s="113"/>
      <c r="T103" s="113"/>
    </row>
    <row r="104" spans="2:20" s="190" customFormat="1" ht="16.5" customHeight="1" x14ac:dyDescent="0.25">
      <c r="B104" s="116" t="s">
        <v>83</v>
      </c>
      <c r="C104" s="120" t="s">
        <v>84</v>
      </c>
      <c r="D104" s="121"/>
      <c r="E104" s="121"/>
      <c r="F104" s="121"/>
      <c r="G104" s="122"/>
      <c r="H104" s="122" t="s">
        <v>78</v>
      </c>
      <c r="I104" s="72"/>
      <c r="J104" s="72"/>
      <c r="K104" s="72"/>
      <c r="L104" s="72"/>
      <c r="M104" s="72"/>
      <c r="N104" s="72"/>
      <c r="O104" s="72"/>
      <c r="P104" s="72"/>
      <c r="Q104" s="72"/>
      <c r="R104" s="72"/>
      <c r="S104" s="113"/>
      <c r="T104" s="113"/>
    </row>
    <row r="105" spans="2:20" s="190" customFormat="1" ht="16.5" customHeight="1" x14ac:dyDescent="0.25">
      <c r="B105" s="116" t="s">
        <v>85</v>
      </c>
      <c r="C105" s="120" t="s">
        <v>86</v>
      </c>
      <c r="D105" s="121"/>
      <c r="E105" s="121"/>
      <c r="F105" s="121"/>
      <c r="G105" s="122"/>
      <c r="H105" s="122" t="s">
        <v>87</v>
      </c>
      <c r="I105" s="72"/>
      <c r="J105" s="72"/>
      <c r="K105" s="72"/>
      <c r="L105" s="72"/>
      <c r="M105" s="72"/>
      <c r="N105" s="72"/>
      <c r="O105" s="72"/>
      <c r="P105" s="72"/>
      <c r="Q105" s="72"/>
      <c r="R105" s="72"/>
      <c r="S105" s="113"/>
      <c r="T105" s="113"/>
    </row>
    <row r="106" spans="2:20" s="190" customFormat="1" ht="16.5" customHeight="1" x14ac:dyDescent="0.25">
      <c r="B106" s="116" t="s">
        <v>88</v>
      </c>
      <c r="C106" s="120" t="s">
        <v>89</v>
      </c>
      <c r="D106" s="121"/>
      <c r="E106" s="121"/>
      <c r="F106" s="121"/>
      <c r="G106" s="122"/>
      <c r="H106" s="122" t="s">
        <v>87</v>
      </c>
      <c r="I106" s="72"/>
      <c r="J106" s="72"/>
      <c r="K106" s="72"/>
      <c r="L106" s="72"/>
      <c r="M106" s="72"/>
      <c r="N106" s="72"/>
      <c r="O106" s="72"/>
      <c r="P106" s="72"/>
      <c r="Q106" s="72"/>
      <c r="R106" s="72"/>
      <c r="S106" s="113"/>
      <c r="T106" s="113"/>
    </row>
    <row r="107" spans="2:20" s="190" customFormat="1" ht="16.5" customHeight="1" x14ac:dyDescent="0.25">
      <c r="B107" s="116" t="s">
        <v>90</v>
      </c>
      <c r="C107" s="120" t="s">
        <v>91</v>
      </c>
      <c r="D107" s="121"/>
      <c r="E107" s="121"/>
      <c r="F107" s="121"/>
      <c r="G107" s="122"/>
      <c r="H107" s="122" t="s">
        <v>92</v>
      </c>
      <c r="I107" s="72"/>
      <c r="J107" s="72"/>
      <c r="K107" s="72"/>
      <c r="L107" s="72"/>
      <c r="M107" s="72"/>
      <c r="N107" s="72"/>
      <c r="O107" s="72"/>
      <c r="P107" s="72"/>
      <c r="Q107" s="72"/>
      <c r="R107" s="72"/>
      <c r="S107" s="113"/>
      <c r="T107" s="113"/>
    </row>
    <row r="108" spans="2:20" s="198" customFormat="1" ht="30" customHeight="1" x14ac:dyDescent="0.25">
      <c r="B108" s="125" t="s">
        <v>93</v>
      </c>
      <c r="C108" s="120" t="s">
        <v>94</v>
      </c>
      <c r="D108" s="126"/>
      <c r="E108" s="126"/>
      <c r="F108" s="126"/>
      <c r="G108" s="127"/>
      <c r="H108" s="127"/>
      <c r="I108" s="72" t="s">
        <v>95</v>
      </c>
      <c r="J108" s="72" t="s">
        <v>95</v>
      </c>
      <c r="K108" s="72" t="s">
        <v>95</v>
      </c>
      <c r="L108" s="72" t="s">
        <v>95</v>
      </c>
      <c r="M108" s="72" t="s">
        <v>95</v>
      </c>
      <c r="N108" s="72" t="s">
        <v>95</v>
      </c>
      <c r="O108" s="72" t="s">
        <v>95</v>
      </c>
      <c r="P108" s="72" t="s">
        <v>95</v>
      </c>
      <c r="Q108" s="72" t="s">
        <v>95</v>
      </c>
      <c r="R108" s="72" t="s">
        <v>95</v>
      </c>
      <c r="S108" s="113"/>
      <c r="T108" s="113"/>
    </row>
    <row r="109" spans="2:20" s="190" customFormat="1" ht="24.75" x14ac:dyDescent="0.25">
      <c r="B109" s="116" t="s">
        <v>96</v>
      </c>
      <c r="C109" s="120" t="s">
        <v>97</v>
      </c>
      <c r="D109" s="121"/>
      <c r="E109" s="121"/>
      <c r="F109" s="121"/>
      <c r="G109" s="122"/>
      <c r="H109" s="122"/>
      <c r="I109" s="72" t="str" cm="1">
        <f t="array" ref="I109">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09" s="72" t="str" cm="1">
        <f t="array" ref="J109">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09" s="72" t="str" cm="1">
        <f t="array" ref="K109">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09" s="72" t="str" cm="1">
        <f t="array" ref="L109">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09" s="72" t="str" cm="1">
        <f t="array" ref="M109">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09" s="72" t="str" cm="1">
        <f t="array" ref="N109">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09" s="72" t="str" cm="1">
        <f t="array" ref="O109">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09" s="72" t="str" cm="1">
        <f t="array" ref="P109">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09" s="72" t="str" cm="1">
        <f t="array" ref="Q109">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09" s="72" t="str" cm="1">
        <f t="array" ref="R109">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09" s="113"/>
      <c r="T109" s="113"/>
    </row>
    <row r="110" spans="2:20" s="190" customFormat="1" ht="24.75" x14ac:dyDescent="0.25">
      <c r="B110" s="116" t="s">
        <v>98</v>
      </c>
      <c r="C110" s="120" t="s">
        <v>99</v>
      </c>
      <c r="D110" s="121"/>
      <c r="E110" s="121"/>
      <c r="F110" s="121"/>
      <c r="G110" s="122"/>
      <c r="H110" s="122"/>
      <c r="I110" s="72" t="str" cm="1">
        <f t="array" ref="I110">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10" s="72" t="str" cm="1">
        <f t="array" ref="J110">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10" s="72" t="str" cm="1">
        <f t="array" ref="K110">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10" s="72" t="str" cm="1">
        <f t="array" ref="L110">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10" s="72" t="str" cm="1">
        <f t="array" ref="M110">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10" s="72" t="str" cm="1">
        <f t="array" ref="N110">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10" s="72" t="str" cm="1">
        <f t="array" ref="O110">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10" s="72" t="str" cm="1">
        <f t="array" ref="P110">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10" s="72" t="str" cm="1">
        <f t="array" ref="Q110">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10" s="72" t="str" cm="1">
        <f t="array" ref="R110">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10" s="113"/>
      <c r="T110" s="113"/>
    </row>
    <row r="111" spans="2:20" s="190" customFormat="1" ht="24.75" x14ac:dyDescent="0.25">
      <c r="B111" s="116" t="s">
        <v>100</v>
      </c>
      <c r="C111" s="120" t="s">
        <v>101</v>
      </c>
      <c r="D111" s="121"/>
      <c r="E111" s="121"/>
      <c r="F111" s="121"/>
      <c r="G111" s="122"/>
      <c r="H111" s="122"/>
      <c r="I111" s="72" t="str" cm="1">
        <f t="array" ref="I111">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11" s="72" t="str" cm="1">
        <f t="array" ref="J111">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11" s="72" t="str" cm="1">
        <f t="array" ref="K111">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11" s="72" t="str" cm="1">
        <f t="array" ref="L111">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11" s="72" t="str" cm="1">
        <f t="array" ref="M111">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11" s="72" t="str" cm="1">
        <f t="array" ref="N111">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11" s="72" t="str" cm="1">
        <f t="array" ref="O111">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11" s="72" t="str" cm="1">
        <f t="array" ref="P111">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11" s="72" t="str" cm="1">
        <f t="array" ref="Q111">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11" s="72" t="str" cm="1">
        <f t="array" ref="R111">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11" s="113"/>
      <c r="T111" s="113"/>
    </row>
    <row r="112" spans="2:20" s="190" customFormat="1" ht="16.5" customHeight="1" x14ac:dyDescent="0.25">
      <c r="B112" s="116" t="s">
        <v>102</v>
      </c>
      <c r="C112" s="124" t="s">
        <v>103</v>
      </c>
      <c r="D112" s="121"/>
      <c r="E112" s="121"/>
      <c r="F112" s="121"/>
      <c r="G112" s="122"/>
      <c r="H112" s="122"/>
      <c r="I112" s="183">
        <f>IF(IF(I108=$I$238,I109,IF(I108=$I$239,I109*I110,IF(I108=$I$240,I109*I110*I111,1)))=0,"Fyll i 2.6-2.8",IF(I108=$I$238,I109,IF(I108=$I$239,I109*I110,IF(I108=$I$240,I109*I110*I111,1))))</f>
        <v>1</v>
      </c>
      <c r="J112" s="183">
        <f t="shared" ref="J112:R112" si="7">IF(IF(J108=$I$238,J109,IF(J108=$I$239,J109*J110,IF(J108=$I$240,J109*J110*J111,1)))=0,"Fyll i 2.6-2.8",IF(J108=$I$238,J109,IF(J108=$I$239,J109*J110,IF(J108=$I$240,J109*J110*J111,1))))</f>
        <v>1</v>
      </c>
      <c r="K112" s="183">
        <f t="shared" si="7"/>
        <v>1</v>
      </c>
      <c r="L112" s="183">
        <f t="shared" si="7"/>
        <v>1</v>
      </c>
      <c r="M112" s="183">
        <f t="shared" si="7"/>
        <v>1</v>
      </c>
      <c r="N112" s="183">
        <f t="shared" si="7"/>
        <v>1</v>
      </c>
      <c r="O112" s="183">
        <f t="shared" si="7"/>
        <v>1</v>
      </c>
      <c r="P112" s="183">
        <f t="shared" si="7"/>
        <v>1</v>
      </c>
      <c r="Q112" s="183">
        <f t="shared" si="7"/>
        <v>1</v>
      </c>
      <c r="R112" s="183">
        <f t="shared" si="7"/>
        <v>1</v>
      </c>
      <c r="S112" s="113"/>
      <c r="T112" s="113"/>
    </row>
    <row r="113" spans="2:20" s="190" customFormat="1" ht="16.5" customHeight="1" x14ac:dyDescent="0.25">
      <c r="B113" s="116" t="s">
        <v>104</v>
      </c>
      <c r="C113" s="120" t="s">
        <v>105</v>
      </c>
      <c r="D113" s="121"/>
      <c r="E113" s="121"/>
      <c r="F113" s="121"/>
      <c r="G113" s="122"/>
      <c r="H113" s="122" t="s">
        <v>106</v>
      </c>
      <c r="I113" s="72"/>
      <c r="J113" s="72"/>
      <c r="K113" s="72"/>
      <c r="L113" s="72"/>
      <c r="M113" s="72"/>
      <c r="N113" s="72"/>
      <c r="O113" s="72"/>
      <c r="P113" s="72"/>
      <c r="Q113" s="72"/>
      <c r="R113" s="72"/>
      <c r="S113" s="113"/>
      <c r="T113" s="113"/>
    </row>
    <row r="114" spans="2:20" s="190" customFormat="1" ht="16.5" customHeight="1" x14ac:dyDescent="0.25">
      <c r="B114" s="116"/>
      <c r="C114" s="123"/>
      <c r="D114" s="123"/>
      <c r="E114" s="123"/>
      <c r="F114" s="123"/>
      <c r="G114" s="123"/>
      <c r="H114" s="123"/>
      <c r="I114" s="197"/>
      <c r="J114" s="197"/>
      <c r="K114" s="197"/>
      <c r="L114" s="197"/>
      <c r="M114" s="197"/>
      <c r="N114" s="197"/>
      <c r="O114" s="197"/>
      <c r="P114" s="197"/>
      <c r="Q114" s="197"/>
      <c r="R114" s="197"/>
      <c r="S114" s="113"/>
      <c r="T114" s="113"/>
    </row>
    <row r="115" spans="2:20" s="190" customFormat="1" ht="16.5" customHeight="1" x14ac:dyDescent="0.25">
      <c r="B115" s="116"/>
      <c r="C115" s="115" t="s">
        <v>113</v>
      </c>
      <c r="D115" s="123"/>
      <c r="E115" s="123"/>
      <c r="F115" s="123"/>
      <c r="G115" s="123"/>
      <c r="H115" s="123"/>
      <c r="I115" s="197"/>
      <c r="J115" s="197"/>
      <c r="K115" s="197"/>
      <c r="L115" s="197"/>
      <c r="M115" s="197"/>
      <c r="N115" s="197"/>
      <c r="O115" s="197"/>
      <c r="P115" s="197"/>
      <c r="Q115" s="197"/>
      <c r="R115" s="197"/>
      <c r="S115" s="113"/>
      <c r="T115" s="113"/>
    </row>
    <row r="116" spans="2:20" s="190" customFormat="1" ht="16.5" customHeight="1" x14ac:dyDescent="0.25">
      <c r="B116" s="116" t="s">
        <v>83</v>
      </c>
      <c r="C116" s="120" t="s">
        <v>84</v>
      </c>
      <c r="D116" s="121"/>
      <c r="E116" s="121"/>
      <c r="F116" s="121"/>
      <c r="G116" s="122"/>
      <c r="H116" s="122" t="s">
        <v>78</v>
      </c>
      <c r="I116" s="72"/>
      <c r="J116" s="72"/>
      <c r="K116" s="72"/>
      <c r="L116" s="72"/>
      <c r="M116" s="72"/>
      <c r="N116" s="72"/>
      <c r="O116" s="72"/>
      <c r="P116" s="72"/>
      <c r="Q116" s="72"/>
      <c r="R116" s="72"/>
      <c r="S116" s="113"/>
      <c r="T116" s="113"/>
    </row>
    <row r="117" spans="2:20" s="190" customFormat="1" ht="16.5" customHeight="1" x14ac:dyDescent="0.25">
      <c r="B117" s="116" t="s">
        <v>85</v>
      </c>
      <c r="C117" s="120" t="s">
        <v>86</v>
      </c>
      <c r="D117" s="121"/>
      <c r="E117" s="121"/>
      <c r="F117" s="121"/>
      <c r="G117" s="122"/>
      <c r="H117" s="122" t="s">
        <v>87</v>
      </c>
      <c r="I117" s="72"/>
      <c r="J117" s="72"/>
      <c r="K117" s="72"/>
      <c r="L117" s="72"/>
      <c r="M117" s="72"/>
      <c r="N117" s="72"/>
      <c r="O117" s="72"/>
      <c r="P117" s="72"/>
      <c r="Q117" s="72"/>
      <c r="R117" s="72"/>
      <c r="S117" s="113"/>
      <c r="T117" s="113"/>
    </row>
    <row r="118" spans="2:20" s="190" customFormat="1" ht="16.5" customHeight="1" x14ac:dyDescent="0.25">
      <c r="B118" s="116" t="s">
        <v>88</v>
      </c>
      <c r="C118" s="120" t="s">
        <v>89</v>
      </c>
      <c r="D118" s="121"/>
      <c r="E118" s="121"/>
      <c r="F118" s="121"/>
      <c r="G118" s="122"/>
      <c r="H118" s="122" t="s">
        <v>87</v>
      </c>
      <c r="I118" s="72"/>
      <c r="J118" s="72"/>
      <c r="K118" s="72"/>
      <c r="L118" s="72"/>
      <c r="M118" s="72"/>
      <c r="N118" s="72"/>
      <c r="O118" s="72"/>
      <c r="P118" s="72"/>
      <c r="Q118" s="72"/>
      <c r="R118" s="72"/>
      <c r="S118" s="113"/>
      <c r="T118" s="113"/>
    </row>
    <row r="119" spans="2:20" s="190" customFormat="1" ht="16.5" customHeight="1" x14ac:dyDescent="0.25">
      <c r="B119" s="116" t="s">
        <v>90</v>
      </c>
      <c r="C119" s="120" t="s">
        <v>91</v>
      </c>
      <c r="D119" s="121"/>
      <c r="E119" s="121"/>
      <c r="F119" s="121"/>
      <c r="G119" s="122"/>
      <c r="H119" s="122" t="s">
        <v>92</v>
      </c>
      <c r="I119" s="72"/>
      <c r="J119" s="72"/>
      <c r="K119" s="72"/>
      <c r="L119" s="72"/>
      <c r="M119" s="72"/>
      <c r="N119" s="72"/>
      <c r="O119" s="72"/>
      <c r="P119" s="72"/>
      <c r="Q119" s="72"/>
      <c r="R119" s="72"/>
      <c r="S119" s="113"/>
      <c r="T119" s="113"/>
    </row>
    <row r="120" spans="2:20" s="198" customFormat="1" ht="30" customHeight="1" x14ac:dyDescent="0.25">
      <c r="B120" s="125" t="s">
        <v>93</v>
      </c>
      <c r="C120" s="120" t="s">
        <v>94</v>
      </c>
      <c r="D120" s="126"/>
      <c r="E120" s="126"/>
      <c r="F120" s="126"/>
      <c r="G120" s="127"/>
      <c r="H120" s="127"/>
      <c r="I120" s="72" t="s">
        <v>95</v>
      </c>
      <c r="J120" s="72" t="s">
        <v>95</v>
      </c>
      <c r="K120" s="72" t="s">
        <v>95</v>
      </c>
      <c r="L120" s="72" t="s">
        <v>95</v>
      </c>
      <c r="M120" s="72" t="s">
        <v>95</v>
      </c>
      <c r="N120" s="72" t="s">
        <v>95</v>
      </c>
      <c r="O120" s="72" t="s">
        <v>95</v>
      </c>
      <c r="P120" s="72" t="s">
        <v>95</v>
      </c>
      <c r="Q120" s="72" t="s">
        <v>95</v>
      </c>
      <c r="R120" s="72" t="s">
        <v>95</v>
      </c>
      <c r="S120" s="113"/>
      <c r="T120" s="113"/>
    </row>
    <row r="121" spans="2:20" s="190" customFormat="1" ht="24.75" x14ac:dyDescent="0.25">
      <c r="B121" s="116" t="s">
        <v>96</v>
      </c>
      <c r="C121" s="120" t="s">
        <v>97</v>
      </c>
      <c r="D121" s="121"/>
      <c r="E121" s="121"/>
      <c r="F121" s="121"/>
      <c r="G121" s="122"/>
      <c r="H121" s="122"/>
      <c r="I121" s="72" t="str" cm="1">
        <f t="array" ref="I121">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21" s="72" t="str" cm="1">
        <f t="array" ref="J121">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21" s="72" t="str" cm="1">
        <f t="array" ref="K121">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21" s="72" t="str" cm="1">
        <f t="array" ref="L121">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21" s="72" t="str" cm="1">
        <f t="array" ref="M121">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21" s="72" t="str" cm="1">
        <f t="array" ref="N121">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21" s="72" t="str" cm="1">
        <f t="array" ref="O121">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21" s="72" t="str" cm="1">
        <f t="array" ref="P121">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21" s="72" t="str" cm="1">
        <f t="array" ref="Q121">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21" s="72" t="str" cm="1">
        <f t="array" ref="R121">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21" s="113"/>
      <c r="T121" s="113"/>
    </row>
    <row r="122" spans="2:20" s="190" customFormat="1" ht="24.75" x14ac:dyDescent="0.25">
      <c r="B122" s="116" t="s">
        <v>98</v>
      </c>
      <c r="C122" s="120" t="s">
        <v>99</v>
      </c>
      <c r="D122" s="121"/>
      <c r="E122" s="121"/>
      <c r="F122" s="121"/>
      <c r="G122" s="122"/>
      <c r="H122" s="122"/>
      <c r="I122" s="72" t="str" cm="1">
        <f t="array" ref="I122">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22" s="72" t="str" cm="1">
        <f t="array" ref="J122">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22" s="72" t="str" cm="1">
        <f t="array" ref="K122">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22" s="72" t="str" cm="1">
        <f t="array" ref="L122">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22" s="72" t="str" cm="1">
        <f t="array" ref="M122">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22" s="72" t="str" cm="1">
        <f t="array" ref="N122">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22" s="72" t="str" cm="1">
        <f t="array" ref="O122">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22" s="72" t="str" cm="1">
        <f t="array" ref="P122">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22" s="72" t="str" cm="1">
        <f t="array" ref="Q122">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22" s="72" t="str" cm="1">
        <f t="array" ref="R122">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22" s="113"/>
      <c r="T122" s="113"/>
    </row>
    <row r="123" spans="2:20" s="190" customFormat="1" ht="24.75" x14ac:dyDescent="0.25">
      <c r="B123" s="116" t="s">
        <v>100</v>
      </c>
      <c r="C123" s="120" t="s">
        <v>101</v>
      </c>
      <c r="D123" s="121"/>
      <c r="E123" s="121"/>
      <c r="F123" s="121"/>
      <c r="G123" s="122"/>
      <c r="H123" s="122"/>
      <c r="I123" s="72" t="str" cm="1">
        <f t="array" ref="I123">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23" s="72" t="str" cm="1">
        <f t="array" ref="J123">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23" s="72" t="str" cm="1">
        <f t="array" ref="K123">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23" s="72" t="str" cm="1">
        <f t="array" ref="L123">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23" s="72" t="str" cm="1">
        <f t="array" ref="M123">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23" s="72" t="str" cm="1">
        <f t="array" ref="N123">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23" s="72" t="str" cm="1">
        <f t="array" ref="O123">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23" s="72" t="str" cm="1">
        <f t="array" ref="P123">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23" s="72" t="str" cm="1">
        <f t="array" ref="Q123">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23" s="72" t="str" cm="1">
        <f t="array" ref="R123">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23" s="113"/>
      <c r="T123" s="113"/>
    </row>
    <row r="124" spans="2:20" s="190" customFormat="1" ht="16.5" customHeight="1" x14ac:dyDescent="0.25">
      <c r="B124" s="116" t="s">
        <v>102</v>
      </c>
      <c r="C124" s="124" t="s">
        <v>103</v>
      </c>
      <c r="D124" s="121"/>
      <c r="E124" s="121"/>
      <c r="F124" s="121"/>
      <c r="G124" s="122"/>
      <c r="H124" s="122"/>
      <c r="I124" s="183">
        <f>IF(IF(I120=$I$238,I121,IF(I120=$I$239,I121*I122,IF(I120=$I$240,I121*I122*I123,1)))=0,"Fyll i 2.6-2.8",IF(I120=$I$238,I121,IF(I120=$I$239,I121*I122,IF(I120=$I$240,I121*I122*I123,1))))</f>
        <v>1</v>
      </c>
      <c r="J124" s="183">
        <f t="shared" ref="J124:R124" si="8">IF(IF(J120=$I$238,J121,IF(J120=$I$239,J121*J122,IF(J120=$I$240,J121*J122*J123,1)))=0,"Fyll i 2.6-2.8",IF(J120=$I$238,J121,IF(J120=$I$239,J121*J122,IF(J120=$I$240,J121*J122*J123,1))))</f>
        <v>1</v>
      </c>
      <c r="K124" s="183">
        <f t="shared" si="8"/>
        <v>1</v>
      </c>
      <c r="L124" s="183">
        <f t="shared" si="8"/>
        <v>1</v>
      </c>
      <c r="M124" s="183">
        <f t="shared" si="8"/>
        <v>1</v>
      </c>
      <c r="N124" s="183">
        <f t="shared" si="8"/>
        <v>1</v>
      </c>
      <c r="O124" s="183">
        <f t="shared" si="8"/>
        <v>1</v>
      </c>
      <c r="P124" s="183">
        <f t="shared" si="8"/>
        <v>1</v>
      </c>
      <c r="Q124" s="183">
        <f t="shared" si="8"/>
        <v>1</v>
      </c>
      <c r="R124" s="183">
        <f t="shared" si="8"/>
        <v>1</v>
      </c>
      <c r="S124" s="113"/>
      <c r="T124" s="113"/>
    </row>
    <row r="125" spans="2:20" s="190" customFormat="1" ht="16.5" customHeight="1" x14ac:dyDescent="0.25">
      <c r="B125" s="116" t="s">
        <v>104</v>
      </c>
      <c r="C125" s="120" t="s">
        <v>105</v>
      </c>
      <c r="D125" s="121"/>
      <c r="E125" s="121"/>
      <c r="F125" s="121"/>
      <c r="G125" s="122"/>
      <c r="H125" s="122" t="s">
        <v>106</v>
      </c>
      <c r="I125" s="72"/>
      <c r="J125" s="72"/>
      <c r="K125" s="72"/>
      <c r="L125" s="72"/>
      <c r="M125" s="72"/>
      <c r="N125" s="72"/>
      <c r="O125" s="72"/>
      <c r="P125" s="72"/>
      <c r="Q125" s="72"/>
      <c r="R125" s="72"/>
      <c r="S125" s="113"/>
      <c r="T125" s="113"/>
    </row>
    <row r="126" spans="2:20" s="190" customFormat="1" ht="16.5" customHeight="1" x14ac:dyDescent="0.25">
      <c r="B126" s="116"/>
      <c r="C126" s="123"/>
      <c r="D126" s="123"/>
      <c r="E126" s="123"/>
      <c r="F126" s="123"/>
      <c r="G126" s="123"/>
      <c r="H126" s="123"/>
      <c r="I126" s="197"/>
      <c r="J126" s="197"/>
      <c r="K126" s="197"/>
      <c r="L126" s="197"/>
      <c r="M126" s="197"/>
      <c r="N126" s="197"/>
      <c r="O126" s="197"/>
      <c r="P126" s="197"/>
      <c r="Q126" s="197"/>
      <c r="R126" s="197"/>
      <c r="S126" s="113"/>
      <c r="T126" s="113"/>
    </row>
    <row r="127" spans="2:20" s="190" customFormat="1" ht="16.5" customHeight="1" x14ac:dyDescent="0.25">
      <c r="B127" s="116"/>
      <c r="C127" s="115" t="s">
        <v>114</v>
      </c>
      <c r="D127" s="123"/>
      <c r="E127" s="123"/>
      <c r="F127" s="123"/>
      <c r="G127" s="123"/>
      <c r="H127" s="123"/>
      <c r="I127" s="197"/>
      <c r="J127" s="197"/>
      <c r="K127" s="197"/>
      <c r="L127" s="197"/>
      <c r="M127" s="197"/>
      <c r="N127" s="197"/>
      <c r="O127" s="197"/>
      <c r="P127" s="197"/>
      <c r="Q127" s="197"/>
      <c r="R127" s="197"/>
      <c r="S127" s="113"/>
      <c r="T127" s="113"/>
    </row>
    <row r="128" spans="2:20" s="190" customFormat="1" ht="16.5" customHeight="1" x14ac:dyDescent="0.25">
      <c r="B128" s="116" t="s">
        <v>83</v>
      </c>
      <c r="C128" s="120" t="s">
        <v>84</v>
      </c>
      <c r="D128" s="121"/>
      <c r="E128" s="121"/>
      <c r="F128" s="121"/>
      <c r="G128" s="122"/>
      <c r="H128" s="122" t="s">
        <v>78</v>
      </c>
      <c r="I128" s="72"/>
      <c r="J128" s="72"/>
      <c r="K128" s="72"/>
      <c r="L128" s="72"/>
      <c r="M128" s="72"/>
      <c r="N128" s="72"/>
      <c r="O128" s="72"/>
      <c r="P128" s="72"/>
      <c r="Q128" s="72"/>
      <c r="R128" s="72"/>
      <c r="S128" s="113"/>
      <c r="T128" s="113"/>
    </row>
    <row r="129" spans="2:20" s="190" customFormat="1" ht="16.5" customHeight="1" x14ac:dyDescent="0.25">
      <c r="B129" s="116" t="s">
        <v>85</v>
      </c>
      <c r="C129" s="120" t="s">
        <v>86</v>
      </c>
      <c r="D129" s="121"/>
      <c r="E129" s="121"/>
      <c r="F129" s="121"/>
      <c r="G129" s="122"/>
      <c r="H129" s="122" t="s">
        <v>87</v>
      </c>
      <c r="I129" s="72"/>
      <c r="J129" s="72"/>
      <c r="K129" s="72"/>
      <c r="L129" s="72"/>
      <c r="M129" s="72"/>
      <c r="N129" s="72"/>
      <c r="O129" s="72"/>
      <c r="P129" s="72"/>
      <c r="Q129" s="72"/>
      <c r="R129" s="72"/>
      <c r="S129" s="113"/>
      <c r="T129" s="113"/>
    </row>
    <row r="130" spans="2:20" s="190" customFormat="1" ht="16.5" customHeight="1" x14ac:dyDescent="0.25">
      <c r="B130" s="116" t="s">
        <v>88</v>
      </c>
      <c r="C130" s="120" t="s">
        <v>89</v>
      </c>
      <c r="D130" s="121"/>
      <c r="E130" s="121"/>
      <c r="F130" s="121"/>
      <c r="G130" s="122"/>
      <c r="H130" s="122" t="s">
        <v>87</v>
      </c>
      <c r="I130" s="72"/>
      <c r="J130" s="72"/>
      <c r="K130" s="72"/>
      <c r="L130" s="72"/>
      <c r="M130" s="72"/>
      <c r="N130" s="72"/>
      <c r="O130" s="72"/>
      <c r="P130" s="72"/>
      <c r="Q130" s="72"/>
      <c r="R130" s="72"/>
      <c r="S130" s="113"/>
      <c r="T130" s="113"/>
    </row>
    <row r="131" spans="2:20" s="190" customFormat="1" ht="16.5" customHeight="1" x14ac:dyDescent="0.25">
      <c r="B131" s="116" t="s">
        <v>90</v>
      </c>
      <c r="C131" s="120" t="s">
        <v>91</v>
      </c>
      <c r="D131" s="121"/>
      <c r="E131" s="121"/>
      <c r="F131" s="121"/>
      <c r="G131" s="122"/>
      <c r="H131" s="122" t="s">
        <v>92</v>
      </c>
      <c r="I131" s="72"/>
      <c r="J131" s="72"/>
      <c r="K131" s="72"/>
      <c r="L131" s="72"/>
      <c r="M131" s="72"/>
      <c r="N131" s="72"/>
      <c r="O131" s="72"/>
      <c r="P131" s="72"/>
      <c r="Q131" s="72"/>
      <c r="R131" s="72"/>
      <c r="S131" s="113"/>
      <c r="T131" s="113"/>
    </row>
    <row r="132" spans="2:20" s="198" customFormat="1" ht="30" customHeight="1" x14ac:dyDescent="0.25">
      <c r="B132" s="125" t="s">
        <v>93</v>
      </c>
      <c r="C132" s="120" t="s">
        <v>94</v>
      </c>
      <c r="D132" s="126"/>
      <c r="E132" s="126"/>
      <c r="F132" s="126"/>
      <c r="G132" s="127"/>
      <c r="H132" s="127"/>
      <c r="I132" s="72" t="s">
        <v>95</v>
      </c>
      <c r="J132" s="72" t="s">
        <v>95</v>
      </c>
      <c r="K132" s="72" t="s">
        <v>95</v>
      </c>
      <c r="L132" s="72" t="s">
        <v>95</v>
      </c>
      <c r="M132" s="72" t="s">
        <v>95</v>
      </c>
      <c r="N132" s="72" t="s">
        <v>95</v>
      </c>
      <c r="O132" s="72" t="s">
        <v>95</v>
      </c>
      <c r="P132" s="72" t="s">
        <v>95</v>
      </c>
      <c r="Q132" s="72" t="s">
        <v>95</v>
      </c>
      <c r="R132" s="72" t="s">
        <v>95</v>
      </c>
      <c r="S132" s="113"/>
      <c r="T132" s="113"/>
    </row>
    <row r="133" spans="2:20" s="190" customFormat="1" ht="24.75" x14ac:dyDescent="0.25">
      <c r="B133" s="116" t="s">
        <v>96</v>
      </c>
      <c r="C133" s="120" t="s">
        <v>97</v>
      </c>
      <c r="D133" s="121"/>
      <c r="E133" s="121"/>
      <c r="F133" s="121"/>
      <c r="G133" s="122"/>
      <c r="H133" s="122"/>
      <c r="I133" s="72" t="str" cm="1">
        <f t="array" ref="I133">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33" s="72" t="str" cm="1">
        <f t="array" ref="J133">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33" s="72" t="str" cm="1">
        <f t="array" ref="K133">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33" s="72" t="str" cm="1">
        <f t="array" ref="L133">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33" s="72" t="str" cm="1">
        <f t="array" ref="M133">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33" s="72" t="str" cm="1">
        <f t="array" ref="N133">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33" s="72" t="str" cm="1">
        <f t="array" ref="O133">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33" s="72" t="str" cm="1">
        <f t="array" ref="P133">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33" s="72" t="str" cm="1">
        <f t="array" ref="Q133">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33" s="72" t="str" cm="1">
        <f t="array" ref="R133">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33" s="113"/>
      <c r="T133" s="113"/>
    </row>
    <row r="134" spans="2:20" s="190" customFormat="1" ht="24.75" x14ac:dyDescent="0.25">
      <c r="B134" s="116" t="s">
        <v>98</v>
      </c>
      <c r="C134" s="120" t="s">
        <v>99</v>
      </c>
      <c r="D134" s="121"/>
      <c r="E134" s="121"/>
      <c r="F134" s="121"/>
      <c r="G134" s="122"/>
      <c r="H134" s="122"/>
      <c r="I134" s="72" t="str" cm="1">
        <f t="array" ref="I134">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34" s="72" t="str" cm="1">
        <f t="array" ref="J134">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34" s="72" t="str" cm="1">
        <f t="array" ref="K134">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34" s="72" t="str" cm="1">
        <f t="array" ref="L134">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34" s="72" t="str" cm="1">
        <f t="array" ref="M134">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34" s="72" t="str" cm="1">
        <f t="array" ref="N134">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34" s="72" t="str" cm="1">
        <f t="array" ref="O134">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34" s="72" t="str" cm="1">
        <f t="array" ref="P134">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34" s="72" t="str" cm="1">
        <f t="array" ref="Q134">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34" s="72" t="str" cm="1">
        <f t="array" ref="R134">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34" s="113"/>
      <c r="T134" s="113"/>
    </row>
    <row r="135" spans="2:20" s="190" customFormat="1" ht="24.75" x14ac:dyDescent="0.25">
      <c r="B135" s="116" t="s">
        <v>100</v>
      </c>
      <c r="C135" s="120" t="s">
        <v>101</v>
      </c>
      <c r="D135" s="121"/>
      <c r="E135" s="121"/>
      <c r="F135" s="121"/>
      <c r="G135" s="122"/>
      <c r="H135" s="122"/>
      <c r="I135" s="72" t="str" cm="1">
        <f t="array" ref="I135">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35" s="72" t="str" cm="1">
        <f t="array" ref="J135">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35" s="72" t="str" cm="1">
        <f t="array" ref="K135">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35" s="72" t="str" cm="1">
        <f t="array" ref="L135">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35" s="72" t="str" cm="1">
        <f t="array" ref="M135">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35" s="72" t="str" cm="1">
        <f t="array" ref="N135">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35" s="72" t="str" cm="1">
        <f t="array" ref="O135">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35" s="72" t="str" cm="1">
        <f t="array" ref="P135">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35" s="72" t="str" cm="1">
        <f t="array" ref="Q135">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35" s="72" t="str" cm="1">
        <f t="array" ref="R135">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35" s="113"/>
      <c r="T135" s="113"/>
    </row>
    <row r="136" spans="2:20" s="190" customFormat="1" ht="16.5" customHeight="1" x14ac:dyDescent="0.25">
      <c r="B136" s="116" t="s">
        <v>102</v>
      </c>
      <c r="C136" s="124" t="s">
        <v>103</v>
      </c>
      <c r="D136" s="121"/>
      <c r="E136" s="121"/>
      <c r="F136" s="121"/>
      <c r="G136" s="122"/>
      <c r="H136" s="122"/>
      <c r="I136" s="183">
        <f>IF(IF(I132=$I$238,I133,IF(I132=$I$239,I133*I134,IF(I132=$I$240,I133*I134*I135,1)))=0,"Fyll i 2.6-2.8",IF(I132=$I$238,I133,IF(I132=$I$239,I133*I134,IF(I132=$I$240,I133*I134*I135,1))))</f>
        <v>1</v>
      </c>
      <c r="J136" s="183">
        <f t="shared" ref="J136:R136" si="9">IF(IF(J132=$I$238,J133,IF(J132=$I$239,J133*J134,IF(J132=$I$240,J133*J134*J135,1)))=0,"Fyll i 2.6-2.8",IF(J132=$I$238,J133,IF(J132=$I$239,J133*J134,IF(J132=$I$240,J133*J134*J135,1))))</f>
        <v>1</v>
      </c>
      <c r="K136" s="183">
        <f t="shared" si="9"/>
        <v>1</v>
      </c>
      <c r="L136" s="183">
        <f t="shared" si="9"/>
        <v>1</v>
      </c>
      <c r="M136" s="183">
        <f t="shared" si="9"/>
        <v>1</v>
      </c>
      <c r="N136" s="183">
        <f t="shared" si="9"/>
        <v>1</v>
      </c>
      <c r="O136" s="183">
        <f t="shared" si="9"/>
        <v>1</v>
      </c>
      <c r="P136" s="183">
        <f t="shared" si="9"/>
        <v>1</v>
      </c>
      <c r="Q136" s="183">
        <f t="shared" si="9"/>
        <v>1</v>
      </c>
      <c r="R136" s="183">
        <f t="shared" si="9"/>
        <v>1</v>
      </c>
      <c r="S136" s="113"/>
      <c r="T136" s="113"/>
    </row>
    <row r="137" spans="2:20" s="190" customFormat="1" ht="16.5" customHeight="1" x14ac:dyDescent="0.25">
      <c r="B137" s="116" t="s">
        <v>104</v>
      </c>
      <c r="C137" s="120" t="s">
        <v>105</v>
      </c>
      <c r="D137" s="121"/>
      <c r="E137" s="121"/>
      <c r="F137" s="121"/>
      <c r="G137" s="122"/>
      <c r="H137" s="122" t="s">
        <v>106</v>
      </c>
      <c r="I137" s="72"/>
      <c r="J137" s="72"/>
      <c r="K137" s="72"/>
      <c r="L137" s="72"/>
      <c r="M137" s="72"/>
      <c r="N137" s="72"/>
      <c r="O137" s="72"/>
      <c r="P137" s="72"/>
      <c r="Q137" s="72"/>
      <c r="R137" s="72"/>
      <c r="S137" s="113"/>
      <c r="T137" s="113"/>
    </row>
    <row r="138" spans="2:20" s="190" customFormat="1" ht="16.5" customHeight="1" x14ac:dyDescent="0.25">
      <c r="B138" s="116"/>
      <c r="C138" s="123"/>
      <c r="D138" s="123"/>
      <c r="E138" s="123"/>
      <c r="F138" s="123"/>
      <c r="G138" s="123"/>
      <c r="H138" s="123"/>
      <c r="I138" s="197"/>
      <c r="J138" s="197"/>
      <c r="K138" s="197"/>
      <c r="L138" s="197"/>
      <c r="M138" s="197"/>
      <c r="N138" s="197"/>
      <c r="O138" s="197"/>
      <c r="P138" s="197"/>
      <c r="Q138" s="197"/>
      <c r="R138" s="197"/>
      <c r="S138" s="113"/>
      <c r="T138" s="113"/>
    </row>
    <row r="139" spans="2:20" s="190" customFormat="1" ht="16.5" customHeight="1" x14ac:dyDescent="0.25">
      <c r="B139" s="116"/>
      <c r="C139" s="115" t="s">
        <v>115</v>
      </c>
      <c r="D139" s="123"/>
      <c r="E139" s="123"/>
      <c r="F139" s="123"/>
      <c r="G139" s="123"/>
      <c r="H139" s="123"/>
      <c r="I139" s="197"/>
      <c r="J139" s="197"/>
      <c r="K139" s="197"/>
      <c r="L139" s="197"/>
      <c r="M139" s="197"/>
      <c r="N139" s="197"/>
      <c r="O139" s="197"/>
      <c r="P139" s="197"/>
      <c r="Q139" s="197"/>
      <c r="R139" s="197"/>
      <c r="S139" s="113"/>
      <c r="T139" s="113"/>
    </row>
    <row r="140" spans="2:20" s="190" customFormat="1" ht="16.5" customHeight="1" x14ac:dyDescent="0.25">
      <c r="B140" s="116" t="s">
        <v>83</v>
      </c>
      <c r="C140" s="120" t="s">
        <v>84</v>
      </c>
      <c r="D140" s="121"/>
      <c r="E140" s="121"/>
      <c r="F140" s="121"/>
      <c r="G140" s="122"/>
      <c r="H140" s="122" t="s">
        <v>78</v>
      </c>
      <c r="I140" s="72"/>
      <c r="J140" s="72"/>
      <c r="K140" s="72"/>
      <c r="L140" s="72"/>
      <c r="M140" s="72"/>
      <c r="N140" s="72"/>
      <c r="O140" s="72"/>
      <c r="P140" s="72"/>
      <c r="Q140" s="72"/>
      <c r="R140" s="72"/>
      <c r="S140" s="113"/>
      <c r="T140" s="113"/>
    </row>
    <row r="141" spans="2:20" s="190" customFormat="1" ht="16.5" customHeight="1" x14ac:dyDescent="0.25">
      <c r="B141" s="116" t="s">
        <v>85</v>
      </c>
      <c r="C141" s="120" t="s">
        <v>86</v>
      </c>
      <c r="D141" s="121"/>
      <c r="E141" s="121"/>
      <c r="F141" s="121"/>
      <c r="G141" s="122"/>
      <c r="H141" s="122" t="s">
        <v>87</v>
      </c>
      <c r="I141" s="72"/>
      <c r="J141" s="72"/>
      <c r="K141" s="72"/>
      <c r="L141" s="72"/>
      <c r="M141" s="72"/>
      <c r="N141" s="72"/>
      <c r="O141" s="72"/>
      <c r="P141" s="72"/>
      <c r="Q141" s="72"/>
      <c r="R141" s="72"/>
      <c r="S141" s="113"/>
      <c r="T141" s="113"/>
    </row>
    <row r="142" spans="2:20" s="190" customFormat="1" ht="16.5" customHeight="1" x14ac:dyDescent="0.25">
      <c r="B142" s="116" t="s">
        <v>88</v>
      </c>
      <c r="C142" s="120" t="s">
        <v>89</v>
      </c>
      <c r="D142" s="121"/>
      <c r="E142" s="121"/>
      <c r="F142" s="121"/>
      <c r="G142" s="122"/>
      <c r="H142" s="122" t="s">
        <v>87</v>
      </c>
      <c r="I142" s="72"/>
      <c r="J142" s="72"/>
      <c r="K142" s="72"/>
      <c r="L142" s="72"/>
      <c r="M142" s="72"/>
      <c r="N142" s="72"/>
      <c r="O142" s="72"/>
      <c r="P142" s="72"/>
      <c r="Q142" s="72"/>
      <c r="R142" s="72"/>
      <c r="S142" s="113"/>
      <c r="T142" s="113"/>
    </row>
    <row r="143" spans="2:20" s="190" customFormat="1" ht="16.5" customHeight="1" x14ac:dyDescent="0.25">
      <c r="B143" s="116" t="s">
        <v>90</v>
      </c>
      <c r="C143" s="120" t="s">
        <v>91</v>
      </c>
      <c r="D143" s="121"/>
      <c r="E143" s="121"/>
      <c r="F143" s="121"/>
      <c r="G143" s="122"/>
      <c r="H143" s="122" t="s">
        <v>92</v>
      </c>
      <c r="I143" s="72"/>
      <c r="J143" s="72"/>
      <c r="K143" s="72"/>
      <c r="L143" s="72"/>
      <c r="M143" s="72"/>
      <c r="N143" s="72"/>
      <c r="O143" s="72"/>
      <c r="P143" s="72"/>
      <c r="Q143" s="72"/>
      <c r="R143" s="72"/>
      <c r="S143" s="113"/>
      <c r="T143" s="113"/>
    </row>
    <row r="144" spans="2:20" s="198" customFormat="1" ht="30" customHeight="1" x14ac:dyDescent="0.25">
      <c r="B144" s="125" t="s">
        <v>93</v>
      </c>
      <c r="C144" s="120" t="s">
        <v>94</v>
      </c>
      <c r="D144" s="126"/>
      <c r="E144" s="126"/>
      <c r="F144" s="126"/>
      <c r="G144" s="127"/>
      <c r="H144" s="127"/>
      <c r="I144" s="72" t="s">
        <v>95</v>
      </c>
      <c r="J144" s="72" t="s">
        <v>95</v>
      </c>
      <c r="K144" s="72" t="s">
        <v>95</v>
      </c>
      <c r="L144" s="72" t="s">
        <v>95</v>
      </c>
      <c r="M144" s="72" t="s">
        <v>95</v>
      </c>
      <c r="N144" s="72" t="s">
        <v>95</v>
      </c>
      <c r="O144" s="72" t="s">
        <v>95</v>
      </c>
      <c r="P144" s="72" t="s">
        <v>95</v>
      </c>
      <c r="Q144" s="72" t="s">
        <v>95</v>
      </c>
      <c r="R144" s="72" t="s">
        <v>95</v>
      </c>
      <c r="S144" s="113"/>
      <c r="T144" s="113"/>
    </row>
    <row r="145" spans="1:20" s="190" customFormat="1" ht="24.75" x14ac:dyDescent="0.25">
      <c r="B145" s="116" t="s">
        <v>96</v>
      </c>
      <c r="C145" s="120" t="s">
        <v>97</v>
      </c>
      <c r="D145" s="121"/>
      <c r="E145" s="121"/>
      <c r="F145" s="121"/>
      <c r="G145" s="122"/>
      <c r="H145" s="122"/>
      <c r="I145" s="72" t="str" cm="1">
        <f t="array" ref="I145">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45" s="72" t="str" cm="1">
        <f t="array" ref="J145">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45" s="72" t="str" cm="1">
        <f t="array" ref="K145">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45" s="72" t="str" cm="1">
        <f t="array" ref="L145">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45" s="72" t="str" cm="1">
        <f t="array" ref="M145">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45" s="72" t="str" cm="1">
        <f t="array" ref="N145">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45" s="72" t="str" cm="1">
        <f t="array" ref="O145">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45" s="72" t="str" cm="1">
        <f t="array" ref="P145">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45" s="72" t="str" cm="1">
        <f t="array" ref="Q145">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45" s="72" t="str" cm="1">
        <f t="array" ref="R145">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45" s="113"/>
      <c r="T145" s="113"/>
    </row>
    <row r="146" spans="1:20" s="190" customFormat="1" ht="24.75" x14ac:dyDescent="0.25">
      <c r="B146" s="116" t="s">
        <v>98</v>
      </c>
      <c r="C146" s="120" t="s">
        <v>99</v>
      </c>
      <c r="D146" s="121"/>
      <c r="E146" s="121"/>
      <c r="F146" s="121"/>
      <c r="G146" s="122"/>
      <c r="H146" s="122"/>
      <c r="I146" s="72" t="str" cm="1">
        <f t="array" ref="I146">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46" s="72" t="str" cm="1">
        <f t="array" ref="J146">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46" s="72" t="str" cm="1">
        <f t="array" ref="K146">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46" s="72" t="str" cm="1">
        <f t="array" ref="L146">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46" s="72" t="str" cm="1">
        <f t="array" ref="M146">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46" s="72" t="str" cm="1">
        <f t="array" ref="N146">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46" s="72" t="str" cm="1">
        <f t="array" ref="O146">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46" s="72" t="str" cm="1">
        <f t="array" ref="P146">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46" s="72" t="str" cm="1">
        <f t="array" ref="Q146">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46" s="72" t="str" cm="1">
        <f t="array" ref="R146">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46" s="113"/>
      <c r="T146" s="113"/>
    </row>
    <row r="147" spans="1:20" s="190" customFormat="1" ht="24.75" x14ac:dyDescent="0.25">
      <c r="B147" s="116" t="s">
        <v>100</v>
      </c>
      <c r="C147" s="120" t="s">
        <v>101</v>
      </c>
      <c r="D147" s="121"/>
      <c r="E147" s="121"/>
      <c r="F147" s="121"/>
      <c r="G147" s="122"/>
      <c r="H147" s="122"/>
      <c r="I147" s="72" t="str" cm="1">
        <f t="array" ref="I147">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47" s="72" t="str" cm="1">
        <f t="array" ref="J147">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47" s="72" t="str" cm="1">
        <f t="array" ref="K147">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47" s="72" t="str" cm="1">
        <f t="array" ref="L147">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47" s="72" t="str" cm="1">
        <f t="array" ref="M147">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47" s="72" t="str" cm="1">
        <f t="array" ref="N147">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47" s="72" t="str" cm="1">
        <f t="array" ref="O147">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47" s="72" t="str" cm="1">
        <f t="array" ref="P147">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47" s="72" t="str" cm="1">
        <f t="array" ref="Q147">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47" s="72" t="str" cm="1">
        <f t="array" ref="R147">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47" s="113"/>
      <c r="T147" s="113"/>
    </row>
    <row r="148" spans="1:20" s="190" customFormat="1" ht="16.5" customHeight="1" x14ac:dyDescent="0.25">
      <c r="B148" s="116" t="s">
        <v>102</v>
      </c>
      <c r="C148" s="124" t="s">
        <v>103</v>
      </c>
      <c r="D148" s="121"/>
      <c r="E148" s="121"/>
      <c r="F148" s="121"/>
      <c r="G148" s="122"/>
      <c r="H148" s="122"/>
      <c r="I148" s="183">
        <f>IF(IF(I144=$I$238,I145,IF(I144=$I$239,I145*I146,IF(I144=$I$240,I145*I146*I147,1)))=0,"Fyll i 2.6-2.8",IF(I144=$I$238,I145,IF(I144=$I$239,I145*I146,IF(I144=$I$240,I145*I146*I147,1))))</f>
        <v>1</v>
      </c>
      <c r="J148" s="183">
        <f t="shared" ref="J148:R148" si="10">IF(IF(J144=$I$238,J145,IF(J144=$I$239,J145*J146,IF(J144=$I$240,J145*J146*J147,1)))=0,"Fyll i 2.6-2.8",IF(J144=$I$238,J145,IF(J144=$I$239,J145*J146,IF(J144=$I$240,J145*J146*J147,1))))</f>
        <v>1</v>
      </c>
      <c r="K148" s="183">
        <f t="shared" si="10"/>
        <v>1</v>
      </c>
      <c r="L148" s="183">
        <f t="shared" si="10"/>
        <v>1</v>
      </c>
      <c r="M148" s="183">
        <f t="shared" si="10"/>
        <v>1</v>
      </c>
      <c r="N148" s="183">
        <f t="shared" si="10"/>
        <v>1</v>
      </c>
      <c r="O148" s="183">
        <f t="shared" si="10"/>
        <v>1</v>
      </c>
      <c r="P148" s="183">
        <f t="shared" si="10"/>
        <v>1</v>
      </c>
      <c r="Q148" s="183">
        <f t="shared" si="10"/>
        <v>1</v>
      </c>
      <c r="R148" s="183">
        <f t="shared" si="10"/>
        <v>1</v>
      </c>
      <c r="S148" s="113"/>
      <c r="T148" s="113"/>
    </row>
    <row r="149" spans="1:20" s="190" customFormat="1" ht="16.5" customHeight="1" x14ac:dyDescent="0.25">
      <c r="B149" s="116" t="s">
        <v>104</v>
      </c>
      <c r="C149" s="120" t="s">
        <v>105</v>
      </c>
      <c r="D149" s="121"/>
      <c r="E149" s="121"/>
      <c r="F149" s="121"/>
      <c r="G149" s="122"/>
      <c r="H149" s="122" t="s">
        <v>106</v>
      </c>
      <c r="I149" s="72"/>
      <c r="J149" s="72"/>
      <c r="K149" s="72"/>
      <c r="L149" s="72"/>
      <c r="M149" s="72"/>
      <c r="N149" s="72"/>
      <c r="O149" s="72"/>
      <c r="P149" s="72"/>
      <c r="Q149" s="72"/>
      <c r="R149" s="72"/>
      <c r="S149" s="113"/>
      <c r="T149" s="113"/>
    </row>
    <row r="150" spans="1:20" s="190" customFormat="1" ht="16.5" customHeight="1" x14ac:dyDescent="0.25">
      <c r="B150" s="116"/>
      <c r="C150" s="123"/>
      <c r="D150" s="123"/>
      <c r="E150" s="123"/>
      <c r="F150" s="123"/>
      <c r="G150" s="123"/>
      <c r="H150" s="123"/>
      <c r="I150" s="197"/>
      <c r="J150" s="197"/>
      <c r="K150" s="197"/>
      <c r="L150" s="197"/>
      <c r="M150" s="197"/>
      <c r="N150" s="197"/>
      <c r="O150" s="197"/>
      <c r="P150" s="197"/>
      <c r="Q150" s="197"/>
      <c r="R150" s="197"/>
      <c r="S150" s="113"/>
      <c r="T150" s="113"/>
    </row>
    <row r="151" spans="1:20" s="190" customFormat="1" ht="16.5" customHeight="1" x14ac:dyDescent="0.25">
      <c r="B151" s="116"/>
      <c r="C151" s="115" t="s">
        <v>116</v>
      </c>
      <c r="D151" s="123"/>
      <c r="E151" s="123"/>
      <c r="F151" s="123"/>
      <c r="G151" s="123"/>
      <c r="H151" s="123"/>
      <c r="I151" s="197"/>
      <c r="J151" s="197"/>
      <c r="K151" s="197"/>
      <c r="L151" s="197"/>
      <c r="M151" s="197"/>
      <c r="N151" s="197"/>
      <c r="O151" s="197"/>
      <c r="P151" s="197"/>
      <c r="Q151" s="197"/>
      <c r="R151" s="197"/>
      <c r="S151" s="113"/>
      <c r="T151" s="113"/>
    </row>
    <row r="152" spans="1:20" s="190" customFormat="1" ht="16.5" customHeight="1" x14ac:dyDescent="0.25">
      <c r="B152" s="116" t="s">
        <v>117</v>
      </c>
      <c r="C152" s="120" t="s">
        <v>118</v>
      </c>
      <c r="D152" s="121"/>
      <c r="E152" s="121"/>
      <c r="F152" s="121"/>
      <c r="G152" s="122"/>
      <c r="H152" s="122" t="s">
        <v>106</v>
      </c>
      <c r="I152" s="72"/>
      <c r="J152" s="72"/>
      <c r="K152" s="72"/>
      <c r="L152" s="72"/>
      <c r="M152" s="72"/>
      <c r="N152" s="72"/>
      <c r="O152" s="72"/>
      <c r="P152" s="72"/>
      <c r="Q152" s="72"/>
      <c r="R152" s="72"/>
      <c r="S152" s="113"/>
      <c r="T152" s="113"/>
    </row>
    <row r="153" spans="1:20" s="190" customFormat="1" x14ac:dyDescent="0.25">
      <c r="B153" s="128"/>
      <c r="C153" s="129"/>
      <c r="D153" s="129"/>
      <c r="E153" s="129"/>
      <c r="F153" s="129"/>
      <c r="G153" s="129"/>
      <c r="H153" s="129"/>
      <c r="I153" s="199"/>
      <c r="J153" s="199"/>
      <c r="K153" s="199"/>
      <c r="L153" s="199"/>
      <c r="M153" s="199"/>
      <c r="N153" s="199"/>
      <c r="O153" s="199"/>
      <c r="P153" s="199"/>
      <c r="Q153" s="199"/>
      <c r="R153" s="199"/>
      <c r="S153" s="113"/>
      <c r="T153" s="113"/>
    </row>
    <row r="154" spans="1:20" s="190" customFormat="1" ht="29.1" customHeight="1" x14ac:dyDescent="0.25">
      <c r="B154" s="248"/>
      <c r="C154" s="451" t="s">
        <v>119</v>
      </c>
      <c r="D154" s="451"/>
      <c r="E154" s="245"/>
      <c r="F154" s="249"/>
      <c r="G154" s="249"/>
      <c r="H154" s="250"/>
      <c r="I154" s="251"/>
      <c r="J154" s="251"/>
      <c r="K154" s="251"/>
      <c r="L154" s="252"/>
      <c r="M154" s="252"/>
      <c r="N154" s="252"/>
      <c r="O154" s="252"/>
      <c r="P154" s="252"/>
      <c r="Q154" s="252"/>
      <c r="R154" s="252"/>
      <c r="S154" s="253"/>
      <c r="T154" s="253"/>
    </row>
    <row r="155" spans="1:20" s="134" customFormat="1" ht="26.25" hidden="1" customHeight="1" x14ac:dyDescent="0.3">
      <c r="A155" s="202"/>
      <c r="C155" s="135" t="s">
        <v>120</v>
      </c>
      <c r="D155" s="136"/>
      <c r="E155" s="137"/>
      <c r="F155" s="137"/>
      <c r="G155" s="137"/>
      <c r="H155" s="137"/>
      <c r="I155" s="254">
        <f>IF(I233="","",SUMPRODUCT(($I$233:$XFD$233&lt;I233)*($I$233:$XFD$233&lt;&gt;""))+SUMPRODUCT(($I$233:I233=I233)*1))</f>
        <v>1</v>
      </c>
      <c r="J155" s="254" t="str">
        <f>IF(J233="","",SUMPRODUCT(($I$233:$XFD$233&lt;J233)*($I$233:$XFD$233&lt;&gt;""))+SUMPRODUCT(($I$233:J233=J233)*1))</f>
        <v/>
      </c>
      <c r="K155" s="254" t="str">
        <f>IF(K233="","",SUMPRODUCT(($I$233:$XFD$233&lt;K233)*($I$233:$XFD$233&lt;&gt;""))+SUMPRODUCT(($I$233:K233=K233)*1))</f>
        <v/>
      </c>
      <c r="L155" s="254" t="str">
        <f>IF(L233="","",SUMPRODUCT(($I$233:$XFD$233&lt;L233)*($I$233:$XFD$233&lt;&gt;""))+SUMPRODUCT(($I$233:L233=L233)*1))</f>
        <v/>
      </c>
      <c r="M155" s="254" t="str">
        <f>IF(M233="","",SUMPRODUCT(($I$233:$XFD$233&lt;M233)*($I$233:$XFD$233&lt;&gt;""))+SUMPRODUCT(($I$233:M233=M233)*1))</f>
        <v/>
      </c>
      <c r="N155" s="254" t="str">
        <f>IF(N233="","",SUMPRODUCT(($I$233:$XFD$233&lt;N233)*($I$233:$XFD$233&lt;&gt;""))+SUMPRODUCT(($I$233:N233=N233)*1))</f>
        <v/>
      </c>
      <c r="O155" s="254" t="str">
        <f>IF(O233="","",SUMPRODUCT(($I$233:$XFD$233&lt;O233)*($I$233:$XFD$233&lt;&gt;""))+SUMPRODUCT(($I$233:O233=O233)*1))</f>
        <v/>
      </c>
      <c r="P155" s="254" t="str">
        <f>IF(P233="","",SUMPRODUCT(($I$233:$XFD$233&lt;P233)*($I$233:$XFD$233&lt;&gt;""))+SUMPRODUCT(($I$233:P233=P233)*1))</f>
        <v/>
      </c>
      <c r="Q155" s="254" t="str">
        <f>IF(Q233="","",SUMPRODUCT(($I$233:$XFD$233&lt;Q233)*($I$233:$XFD$233&lt;&gt;""))+SUMPRODUCT(($I$233:Q233=Q233)*1))</f>
        <v/>
      </c>
      <c r="R155" s="254" t="str">
        <f>IF(R233="","",SUMPRODUCT(($I$233:$XFD$233&lt;R233)*($I$233:$XFD$233&lt;&gt;""))+SUMPRODUCT(($I$233:R233=R233)*1))</f>
        <v/>
      </c>
      <c r="S155" s="113"/>
      <c r="T155" s="113"/>
    </row>
    <row r="156" spans="1:20" s="190" customFormat="1" ht="16.5" customHeight="1" x14ac:dyDescent="0.25">
      <c r="B156" s="138"/>
      <c r="C156" s="442"/>
      <c r="D156" s="442"/>
      <c r="E156" s="442"/>
      <c r="F156" s="442"/>
      <c r="G156" s="442"/>
      <c r="H156" s="139"/>
      <c r="I156" s="255" t="str">
        <f>I167</f>
        <v>Byggnadstyp 1</v>
      </c>
      <c r="J156" s="255" t="str">
        <f t="shared" ref="J156:R156" si="11">J167</f>
        <v>Byggnadstyp 2</v>
      </c>
      <c r="K156" s="255" t="str">
        <f t="shared" si="11"/>
        <v>Byggnadstyp 3</v>
      </c>
      <c r="L156" s="255" t="str">
        <f t="shared" si="11"/>
        <v>Byggnadstyp 4</v>
      </c>
      <c r="M156" s="255" t="str">
        <f t="shared" si="11"/>
        <v>Byggnadstyp 5</v>
      </c>
      <c r="N156" s="255" t="str">
        <f t="shared" si="11"/>
        <v>Byggnadstyp 6</v>
      </c>
      <c r="O156" s="255" t="str">
        <f t="shared" si="11"/>
        <v>Byggnadstyp 7</v>
      </c>
      <c r="P156" s="255" t="str">
        <f t="shared" si="11"/>
        <v>Byggnadstyp 8</v>
      </c>
      <c r="Q156" s="255" t="str">
        <f t="shared" si="11"/>
        <v>Byggnadstyp 9</v>
      </c>
      <c r="R156" s="255" t="str">
        <f t="shared" si="11"/>
        <v>Byggnadstyp 10</v>
      </c>
      <c r="S156" s="113"/>
      <c r="T156" s="113"/>
    </row>
    <row r="157" spans="1:20" s="190" customFormat="1" ht="20.100000000000001" customHeight="1" x14ac:dyDescent="0.25">
      <c r="B157" s="140" t="s">
        <v>121</v>
      </c>
      <c r="C157" s="141" t="s">
        <v>122</v>
      </c>
      <c r="D157" s="141"/>
      <c r="E157" s="141"/>
      <c r="F157" s="141"/>
      <c r="G157" s="141"/>
      <c r="H157" s="142" t="s">
        <v>123</v>
      </c>
      <c r="I157" s="256">
        <f t="shared" ref="I157:N157" si="12">I180+I199*$I$201+I215*$I$217</f>
        <v>0</v>
      </c>
      <c r="J157" s="256">
        <f t="shared" si="12"/>
        <v>0</v>
      </c>
      <c r="K157" s="256">
        <f t="shared" si="12"/>
        <v>0</v>
      </c>
      <c r="L157" s="256">
        <f t="shared" si="12"/>
        <v>0</v>
      </c>
      <c r="M157" s="256">
        <f t="shared" si="12"/>
        <v>0</v>
      </c>
      <c r="N157" s="256">
        <f t="shared" si="12"/>
        <v>0</v>
      </c>
      <c r="O157" s="256">
        <f t="shared" ref="O157:R157" si="13">O180+O199*$I$201+O215*$I$217</f>
        <v>0</v>
      </c>
      <c r="P157" s="256">
        <f t="shared" si="13"/>
        <v>0</v>
      </c>
      <c r="Q157" s="256">
        <f t="shared" si="13"/>
        <v>0</v>
      </c>
      <c r="R157" s="256">
        <f t="shared" si="13"/>
        <v>0</v>
      </c>
      <c r="S157" s="113"/>
      <c r="T157" s="113"/>
    </row>
    <row r="158" spans="1:20" s="190" customFormat="1" ht="20.100000000000001" customHeight="1" x14ac:dyDescent="0.25">
      <c r="B158" s="140" t="s">
        <v>124</v>
      </c>
      <c r="C158" s="141" t="s">
        <v>125</v>
      </c>
      <c r="D158" s="141"/>
      <c r="E158" s="141"/>
      <c r="F158" s="141"/>
      <c r="G158" s="141"/>
      <c r="H158" s="142" t="s">
        <v>126</v>
      </c>
      <c r="I158" s="256">
        <f>I221</f>
        <v>0</v>
      </c>
      <c r="J158" s="256">
        <f>J221</f>
        <v>0</v>
      </c>
      <c r="K158" s="256">
        <f t="shared" ref="K158:R158" si="14">K221</f>
        <v>0</v>
      </c>
      <c r="L158" s="256">
        <f t="shared" si="14"/>
        <v>0</v>
      </c>
      <c r="M158" s="256">
        <f t="shared" si="14"/>
        <v>0</v>
      </c>
      <c r="N158" s="256">
        <f t="shared" si="14"/>
        <v>0</v>
      </c>
      <c r="O158" s="256">
        <f t="shared" si="14"/>
        <v>0</v>
      </c>
      <c r="P158" s="256">
        <f t="shared" si="14"/>
        <v>0</v>
      </c>
      <c r="Q158" s="256">
        <f t="shared" si="14"/>
        <v>0</v>
      </c>
      <c r="R158" s="256">
        <f t="shared" si="14"/>
        <v>0</v>
      </c>
      <c r="S158" s="113"/>
      <c r="T158" s="113"/>
    </row>
    <row r="159" spans="1:20" s="190" customFormat="1" ht="30" customHeight="1" x14ac:dyDescent="0.25">
      <c r="B159" s="128"/>
      <c r="C159" s="143" t="s">
        <v>127</v>
      </c>
      <c r="D159" s="144"/>
      <c r="E159" s="144"/>
      <c r="F159" s="144"/>
      <c r="G159" s="144"/>
      <c r="H159" s="142"/>
      <c r="I159" s="257"/>
      <c r="J159" s="257"/>
      <c r="K159" s="257"/>
      <c r="L159" s="257"/>
      <c r="M159" s="257"/>
      <c r="N159" s="257"/>
      <c r="O159" s="257"/>
      <c r="P159" s="257"/>
      <c r="Q159" s="257"/>
      <c r="R159" s="257"/>
      <c r="S159" s="113"/>
      <c r="T159" s="113"/>
    </row>
    <row r="160" spans="1:20" s="190" customFormat="1" ht="20.100000000000001" customHeight="1" x14ac:dyDescent="0.25">
      <c r="B160" s="128" t="s">
        <v>128</v>
      </c>
      <c r="C160" s="443" t="s">
        <v>129</v>
      </c>
      <c r="D160" s="443"/>
      <c r="E160" s="443"/>
      <c r="F160" s="443"/>
      <c r="G160" s="443"/>
      <c r="H160" s="142" t="s">
        <v>123</v>
      </c>
      <c r="I160" s="257">
        <f>I181+I202+I218</f>
        <v>0</v>
      </c>
      <c r="J160" s="257"/>
      <c r="K160" s="257"/>
      <c r="L160" s="257"/>
      <c r="M160" s="257"/>
      <c r="N160" s="257"/>
      <c r="O160" s="257"/>
      <c r="P160" s="257"/>
      <c r="Q160" s="257"/>
      <c r="R160" s="257"/>
      <c r="S160" s="113"/>
      <c r="T160" s="113"/>
    </row>
    <row r="161" spans="2:20" s="190" customFormat="1" ht="20.100000000000001" customHeight="1" x14ac:dyDescent="0.25">
      <c r="B161" s="128" t="s">
        <v>130</v>
      </c>
      <c r="C161" s="145" t="s">
        <v>131</v>
      </c>
      <c r="D161" s="144"/>
      <c r="E161" s="144"/>
      <c r="F161" s="144"/>
      <c r="G161" s="144"/>
      <c r="H161" s="142" t="s">
        <v>123</v>
      </c>
      <c r="I161" s="257">
        <f>I200</f>
        <v>0</v>
      </c>
      <c r="J161" s="257"/>
      <c r="K161" s="257"/>
      <c r="L161" s="257"/>
      <c r="M161" s="257"/>
      <c r="N161" s="257"/>
      <c r="O161" s="257"/>
      <c r="P161" s="257"/>
      <c r="Q161" s="257"/>
      <c r="R161" s="257"/>
      <c r="S161" s="113"/>
      <c r="T161" s="113"/>
    </row>
    <row r="162" spans="2:20" s="190" customFormat="1" ht="20.100000000000001" customHeight="1" x14ac:dyDescent="0.25">
      <c r="B162" s="128" t="s">
        <v>132</v>
      </c>
      <c r="C162" s="145" t="s">
        <v>133</v>
      </c>
      <c r="D162" s="144"/>
      <c r="E162" s="144"/>
      <c r="F162" s="144"/>
      <c r="G162" s="144"/>
      <c r="H162" s="142" t="s">
        <v>123</v>
      </c>
      <c r="I162" s="257">
        <f>I202</f>
        <v>0</v>
      </c>
      <c r="J162" s="257"/>
      <c r="K162" s="257"/>
      <c r="L162" s="257"/>
      <c r="M162" s="257"/>
      <c r="N162" s="257"/>
      <c r="O162" s="257"/>
      <c r="P162" s="257"/>
      <c r="Q162" s="257"/>
      <c r="R162" s="257"/>
      <c r="S162" s="113"/>
      <c r="T162" s="113"/>
    </row>
    <row r="163" spans="2:20" s="190" customFormat="1" ht="20.100000000000001" customHeight="1" x14ac:dyDescent="0.25">
      <c r="B163" s="128" t="s">
        <v>134</v>
      </c>
      <c r="C163" s="443" t="s">
        <v>135</v>
      </c>
      <c r="D163" s="443"/>
      <c r="E163" s="443"/>
      <c r="F163" s="443"/>
      <c r="G163" s="443"/>
      <c r="H163" s="142" t="s">
        <v>136</v>
      </c>
      <c r="I163" s="257">
        <f>SUM(I220:XFD220)</f>
        <v>0</v>
      </c>
      <c r="J163" s="257"/>
      <c r="K163" s="257"/>
      <c r="L163" s="257"/>
      <c r="M163" s="257"/>
      <c r="N163" s="257"/>
      <c r="O163" s="257"/>
      <c r="P163" s="257"/>
      <c r="Q163" s="257"/>
      <c r="R163" s="257"/>
      <c r="S163" s="113"/>
      <c r="T163" s="113"/>
    </row>
    <row r="164" spans="2:20" s="190" customFormat="1" ht="20.100000000000001" customHeight="1" x14ac:dyDescent="0.25">
      <c r="B164" s="128"/>
      <c r="C164" s="144"/>
      <c r="D164" s="144"/>
      <c r="E164" s="144"/>
      <c r="F164" s="144"/>
      <c r="G164" s="144"/>
      <c r="H164" s="142"/>
      <c r="I164" s="257"/>
      <c r="J164" s="257"/>
      <c r="K164" s="257"/>
      <c r="L164" s="257"/>
      <c r="M164" s="257"/>
      <c r="N164" s="257"/>
      <c r="O164" s="257"/>
      <c r="P164" s="257"/>
      <c r="Q164" s="257"/>
      <c r="R164" s="257"/>
      <c r="S164" s="113"/>
      <c r="T164" s="113"/>
    </row>
    <row r="165" spans="2:20" s="190" customFormat="1" ht="16.5" customHeight="1" x14ac:dyDescent="0.25">
      <c r="B165" s="138"/>
      <c r="C165" s="442"/>
      <c r="D165" s="442"/>
      <c r="E165" s="442"/>
      <c r="F165" s="442"/>
      <c r="G165" s="442"/>
      <c r="H165" s="139"/>
      <c r="I165" s="258"/>
      <c r="J165" s="199"/>
      <c r="K165" s="199"/>
      <c r="L165" s="199"/>
      <c r="M165" s="199"/>
      <c r="N165" s="199"/>
      <c r="O165" s="199"/>
      <c r="P165" s="199"/>
      <c r="Q165" s="199"/>
      <c r="R165" s="199"/>
      <c r="S165" s="113"/>
      <c r="T165" s="113"/>
    </row>
    <row r="166" spans="2:20" s="202" customFormat="1" ht="26.25" customHeight="1" x14ac:dyDescent="0.3">
      <c r="B166" s="134"/>
      <c r="C166" s="259" t="s">
        <v>137</v>
      </c>
      <c r="D166" s="134"/>
      <c r="E166" s="260"/>
      <c r="F166" s="134"/>
      <c r="G166" s="134"/>
      <c r="H166" s="134"/>
      <c r="I166" s="261"/>
      <c r="J166" s="261"/>
      <c r="K166" s="261"/>
      <c r="L166" s="261"/>
      <c r="M166" s="261"/>
      <c r="N166" s="261"/>
      <c r="O166" s="261"/>
      <c r="P166" s="261"/>
      <c r="Q166" s="261"/>
      <c r="R166" s="261"/>
      <c r="S166" s="134"/>
      <c r="T166" s="134"/>
    </row>
    <row r="167" spans="2:20" s="209" customFormat="1" ht="24" customHeight="1" x14ac:dyDescent="0.35">
      <c r="B167" s="149"/>
      <c r="C167" s="441"/>
      <c r="D167" s="441"/>
      <c r="E167" s="441"/>
      <c r="F167" s="441"/>
      <c r="G167" s="441"/>
      <c r="H167" s="151"/>
      <c r="I167" s="262" t="str">
        <f t="shared" ref="I167:N167" si="15">I25</f>
        <v>Byggnadstyp 1</v>
      </c>
      <c r="J167" s="262" t="str">
        <f t="shared" si="15"/>
        <v>Byggnadstyp 2</v>
      </c>
      <c r="K167" s="262" t="str">
        <f t="shared" si="15"/>
        <v>Byggnadstyp 3</v>
      </c>
      <c r="L167" s="263" t="str">
        <f t="shared" si="15"/>
        <v>Byggnadstyp 4</v>
      </c>
      <c r="M167" s="263" t="str">
        <f t="shared" si="15"/>
        <v>Byggnadstyp 5</v>
      </c>
      <c r="N167" s="263" t="str">
        <f t="shared" si="15"/>
        <v>Byggnadstyp 6</v>
      </c>
      <c r="O167" s="263" t="str">
        <f t="shared" ref="O167:R167" si="16">O25</f>
        <v>Byggnadstyp 7</v>
      </c>
      <c r="P167" s="263" t="str">
        <f t="shared" si="16"/>
        <v>Byggnadstyp 8</v>
      </c>
      <c r="Q167" s="263" t="str">
        <f t="shared" si="16"/>
        <v>Byggnadstyp 9</v>
      </c>
      <c r="R167" s="263" t="str">
        <f t="shared" si="16"/>
        <v>Byggnadstyp 10</v>
      </c>
      <c r="S167" s="113"/>
      <c r="T167" s="113"/>
    </row>
    <row r="168" spans="2:20" ht="12.75" x14ac:dyDescent="0.2">
      <c r="B168" s="264"/>
      <c r="C168" s="452" t="s">
        <v>138</v>
      </c>
      <c r="D168" s="452"/>
      <c r="E168" s="452"/>
      <c r="F168" s="452"/>
      <c r="G168" s="452"/>
      <c r="H168" s="264"/>
      <c r="I168" s="265"/>
      <c r="J168" s="265"/>
      <c r="K168" s="265"/>
      <c r="L168" s="266"/>
      <c r="M168" s="266"/>
      <c r="N168" s="266"/>
      <c r="O168" s="266"/>
      <c r="P168" s="266"/>
      <c r="Q168" s="266"/>
      <c r="R168" s="266"/>
      <c r="S168" s="267"/>
      <c r="T168" s="267"/>
    </row>
    <row r="169" spans="2:20" x14ac:dyDescent="0.25">
      <c r="B169" s="153"/>
      <c r="C169" s="439" t="s">
        <v>139</v>
      </c>
      <c r="D169" s="439"/>
      <c r="E169" s="439"/>
      <c r="F169" s="439"/>
      <c r="G169" s="439"/>
      <c r="H169" s="151"/>
      <c r="I169" s="268"/>
      <c r="J169" s="268"/>
      <c r="K169" s="268"/>
      <c r="L169" s="268"/>
      <c r="M169" s="268"/>
      <c r="N169" s="268"/>
      <c r="O169" s="268"/>
      <c r="P169" s="268"/>
      <c r="Q169" s="268"/>
      <c r="R169" s="268"/>
      <c r="S169" s="113"/>
      <c r="T169" s="113"/>
    </row>
    <row r="170" spans="2:20" x14ac:dyDescent="0.25">
      <c r="B170" s="153"/>
      <c r="C170" s="424" t="s">
        <v>140</v>
      </c>
      <c r="D170" s="424"/>
      <c r="E170" s="424"/>
      <c r="F170" s="424"/>
      <c r="G170" s="424"/>
      <c r="H170" s="149" t="s">
        <v>123</v>
      </c>
      <c r="I170" s="269">
        <f>I$28*(I32*(I33+I34))</f>
        <v>0</v>
      </c>
      <c r="J170" s="269">
        <f>J$28*(J32*(J33+J34))</f>
        <v>0</v>
      </c>
      <c r="K170" s="269">
        <f t="shared" ref="K170:R170" si="17">K$28*(K32*(K33+K34))</f>
        <v>0</v>
      </c>
      <c r="L170" s="269">
        <f t="shared" si="17"/>
        <v>0</v>
      </c>
      <c r="M170" s="269">
        <f t="shared" si="17"/>
        <v>0</v>
      </c>
      <c r="N170" s="269">
        <f t="shared" si="17"/>
        <v>0</v>
      </c>
      <c r="O170" s="269">
        <f t="shared" si="17"/>
        <v>0</v>
      </c>
      <c r="P170" s="269">
        <f t="shared" si="17"/>
        <v>0</v>
      </c>
      <c r="Q170" s="269">
        <f t="shared" si="17"/>
        <v>0</v>
      </c>
      <c r="R170" s="269">
        <f t="shared" si="17"/>
        <v>0</v>
      </c>
      <c r="S170" s="113"/>
      <c r="T170" s="113"/>
    </row>
    <row r="171" spans="2:20" x14ac:dyDescent="0.25">
      <c r="B171" s="153"/>
      <c r="C171" s="424" t="s">
        <v>141</v>
      </c>
      <c r="D171" s="424"/>
      <c r="E171" s="424"/>
      <c r="F171" s="424"/>
      <c r="G171" s="424"/>
      <c r="H171" s="149" t="s">
        <v>123</v>
      </c>
      <c r="I171" s="269">
        <f>I$28*(I44*(I45+I46))</f>
        <v>0</v>
      </c>
      <c r="J171" s="269">
        <f>J$28*(J44*(J45+J46))</f>
        <v>0</v>
      </c>
      <c r="K171" s="269">
        <f t="shared" ref="K171:R171" si="18">K$28*(K44*(K45+K46))</f>
        <v>0</v>
      </c>
      <c r="L171" s="269">
        <f t="shared" si="18"/>
        <v>0</v>
      </c>
      <c r="M171" s="269">
        <f t="shared" si="18"/>
        <v>0</v>
      </c>
      <c r="N171" s="269">
        <f t="shared" si="18"/>
        <v>0</v>
      </c>
      <c r="O171" s="269">
        <f t="shared" si="18"/>
        <v>0</v>
      </c>
      <c r="P171" s="269">
        <f t="shared" si="18"/>
        <v>0</v>
      </c>
      <c r="Q171" s="269">
        <f t="shared" si="18"/>
        <v>0</v>
      </c>
      <c r="R171" s="269">
        <f t="shared" si="18"/>
        <v>0</v>
      </c>
      <c r="S171" s="113"/>
      <c r="T171" s="113"/>
    </row>
    <row r="172" spans="2:20" x14ac:dyDescent="0.25">
      <c r="B172" s="153"/>
      <c r="C172" s="424" t="s">
        <v>142</v>
      </c>
      <c r="D172" s="424"/>
      <c r="E172" s="424"/>
      <c r="F172" s="424"/>
      <c r="G172" s="424"/>
      <c r="H172" s="149" t="s">
        <v>123</v>
      </c>
      <c r="I172" s="269">
        <f>I$28*(I56*(I57+I58))</f>
        <v>0</v>
      </c>
      <c r="J172" s="269">
        <f>J$28*(J56*(J57+J58))</f>
        <v>0</v>
      </c>
      <c r="K172" s="269">
        <f t="shared" ref="K172:R172" si="19">K$28*(K56*(K57+K58))</f>
        <v>0</v>
      </c>
      <c r="L172" s="269">
        <f t="shared" si="19"/>
        <v>0</v>
      </c>
      <c r="M172" s="269">
        <f t="shared" si="19"/>
        <v>0</v>
      </c>
      <c r="N172" s="269">
        <f t="shared" si="19"/>
        <v>0</v>
      </c>
      <c r="O172" s="269">
        <f t="shared" si="19"/>
        <v>0</v>
      </c>
      <c r="P172" s="269">
        <f t="shared" si="19"/>
        <v>0</v>
      </c>
      <c r="Q172" s="269">
        <f t="shared" si="19"/>
        <v>0</v>
      </c>
      <c r="R172" s="269">
        <f t="shared" si="19"/>
        <v>0</v>
      </c>
      <c r="S172" s="113"/>
      <c r="T172" s="113"/>
    </row>
    <row r="173" spans="2:20" x14ac:dyDescent="0.25">
      <c r="B173" s="153"/>
      <c r="C173" s="424" t="s">
        <v>143</v>
      </c>
      <c r="D173" s="424"/>
      <c r="E173" s="424"/>
      <c r="F173" s="424"/>
      <c r="G173" s="424"/>
      <c r="H173" s="149" t="s">
        <v>123</v>
      </c>
      <c r="I173" s="269">
        <f>I$28*(I68*(I69+I70))</f>
        <v>0</v>
      </c>
      <c r="J173" s="269">
        <f>J$28*(J68*(J69+J70))</f>
        <v>0</v>
      </c>
      <c r="K173" s="269">
        <f t="shared" ref="K173:R173" si="20">K$28*(K68*(K69+K70))</f>
        <v>0</v>
      </c>
      <c r="L173" s="269">
        <f t="shared" si="20"/>
        <v>0</v>
      </c>
      <c r="M173" s="269">
        <f t="shared" si="20"/>
        <v>0</v>
      </c>
      <c r="N173" s="269">
        <f t="shared" si="20"/>
        <v>0</v>
      </c>
      <c r="O173" s="269">
        <f t="shared" si="20"/>
        <v>0</v>
      </c>
      <c r="P173" s="269">
        <f t="shared" si="20"/>
        <v>0</v>
      </c>
      <c r="Q173" s="269">
        <f t="shared" si="20"/>
        <v>0</v>
      </c>
      <c r="R173" s="269">
        <f t="shared" si="20"/>
        <v>0</v>
      </c>
      <c r="S173" s="113"/>
      <c r="T173" s="113"/>
    </row>
    <row r="174" spans="2:20" x14ac:dyDescent="0.25">
      <c r="B174" s="153"/>
      <c r="C174" s="424" t="s">
        <v>144</v>
      </c>
      <c r="D174" s="424"/>
      <c r="E174" s="424"/>
      <c r="F174" s="424"/>
      <c r="G174" s="424"/>
      <c r="H174" s="149" t="s">
        <v>123</v>
      </c>
      <c r="I174" s="269">
        <f>I$28*(I80*(I81+I82))</f>
        <v>0</v>
      </c>
      <c r="J174" s="269">
        <f>J$28*(J80*(J81+J82))</f>
        <v>0</v>
      </c>
      <c r="K174" s="269">
        <f t="shared" ref="K174:R174" si="21">K$28*(K80*(K81+K82))</f>
        <v>0</v>
      </c>
      <c r="L174" s="269">
        <f t="shared" si="21"/>
        <v>0</v>
      </c>
      <c r="M174" s="269">
        <f t="shared" si="21"/>
        <v>0</v>
      </c>
      <c r="N174" s="269">
        <f t="shared" si="21"/>
        <v>0</v>
      </c>
      <c r="O174" s="269">
        <f t="shared" si="21"/>
        <v>0</v>
      </c>
      <c r="P174" s="269">
        <f t="shared" si="21"/>
        <v>0</v>
      </c>
      <c r="Q174" s="269">
        <f t="shared" si="21"/>
        <v>0</v>
      </c>
      <c r="R174" s="269">
        <f t="shared" si="21"/>
        <v>0</v>
      </c>
      <c r="S174" s="113"/>
      <c r="T174" s="113"/>
    </row>
    <row r="175" spans="2:20" x14ac:dyDescent="0.25">
      <c r="B175" s="153"/>
      <c r="C175" s="424" t="s">
        <v>145</v>
      </c>
      <c r="D175" s="424"/>
      <c r="E175" s="424"/>
      <c r="F175" s="424"/>
      <c r="G175" s="424"/>
      <c r="H175" s="149" t="s">
        <v>123</v>
      </c>
      <c r="I175" s="269">
        <f>I$28*(I92*(I93+I94))</f>
        <v>0</v>
      </c>
      <c r="J175" s="269">
        <f>J$28*(J92*(J93+J94))</f>
        <v>0</v>
      </c>
      <c r="K175" s="269">
        <f t="shared" ref="K175:R175" si="22">K$28*(K92*(K93+K94))</f>
        <v>0</v>
      </c>
      <c r="L175" s="269">
        <f t="shared" si="22"/>
        <v>0</v>
      </c>
      <c r="M175" s="269">
        <f t="shared" si="22"/>
        <v>0</v>
      </c>
      <c r="N175" s="269">
        <f t="shared" si="22"/>
        <v>0</v>
      </c>
      <c r="O175" s="269">
        <f t="shared" si="22"/>
        <v>0</v>
      </c>
      <c r="P175" s="269">
        <f t="shared" si="22"/>
        <v>0</v>
      </c>
      <c r="Q175" s="269">
        <f t="shared" si="22"/>
        <v>0</v>
      </c>
      <c r="R175" s="269">
        <f t="shared" si="22"/>
        <v>0</v>
      </c>
      <c r="S175" s="113"/>
      <c r="T175" s="113"/>
    </row>
    <row r="176" spans="2:20" x14ac:dyDescent="0.25">
      <c r="B176" s="153"/>
      <c r="C176" s="424" t="s">
        <v>146</v>
      </c>
      <c r="D176" s="424"/>
      <c r="E176" s="424"/>
      <c r="F176" s="424"/>
      <c r="G176" s="424"/>
      <c r="H176" s="149" t="s">
        <v>123</v>
      </c>
      <c r="I176" s="269">
        <f>I$28*(I104*(I105+I106))</f>
        <v>0</v>
      </c>
      <c r="J176" s="269">
        <f>J$28*(J104*(J105+J106))</f>
        <v>0</v>
      </c>
      <c r="K176" s="269">
        <f t="shared" ref="K176:R176" si="23">K$28*(K104*(K105+K106))</f>
        <v>0</v>
      </c>
      <c r="L176" s="269">
        <f t="shared" si="23"/>
        <v>0</v>
      </c>
      <c r="M176" s="269">
        <f t="shared" si="23"/>
        <v>0</v>
      </c>
      <c r="N176" s="269">
        <f t="shared" si="23"/>
        <v>0</v>
      </c>
      <c r="O176" s="269">
        <f t="shared" si="23"/>
        <v>0</v>
      </c>
      <c r="P176" s="269">
        <f t="shared" si="23"/>
        <v>0</v>
      </c>
      <c r="Q176" s="269">
        <f t="shared" si="23"/>
        <v>0</v>
      </c>
      <c r="R176" s="269">
        <f t="shared" si="23"/>
        <v>0</v>
      </c>
      <c r="S176" s="113"/>
      <c r="T176" s="113"/>
    </row>
    <row r="177" spans="2:20" x14ac:dyDescent="0.25">
      <c r="B177" s="153"/>
      <c r="C177" s="424" t="s">
        <v>147</v>
      </c>
      <c r="D177" s="424"/>
      <c r="E177" s="424"/>
      <c r="F177" s="424"/>
      <c r="G177" s="424"/>
      <c r="H177" s="149" t="s">
        <v>123</v>
      </c>
      <c r="I177" s="269">
        <f>I$28*(I116*(I117+I118))</f>
        <v>0</v>
      </c>
      <c r="J177" s="269">
        <f>J$28*(J116*(J117+J118))</f>
        <v>0</v>
      </c>
      <c r="K177" s="269">
        <f t="shared" ref="K177:R177" si="24">K$28*(K116*(K117+K118))</f>
        <v>0</v>
      </c>
      <c r="L177" s="269">
        <f t="shared" si="24"/>
        <v>0</v>
      </c>
      <c r="M177" s="269">
        <f t="shared" si="24"/>
        <v>0</v>
      </c>
      <c r="N177" s="269">
        <f t="shared" si="24"/>
        <v>0</v>
      </c>
      <c r="O177" s="269">
        <f t="shared" si="24"/>
        <v>0</v>
      </c>
      <c r="P177" s="269">
        <f t="shared" si="24"/>
        <v>0</v>
      </c>
      <c r="Q177" s="269">
        <f t="shared" si="24"/>
        <v>0</v>
      </c>
      <c r="R177" s="269">
        <f t="shared" si="24"/>
        <v>0</v>
      </c>
      <c r="S177" s="113"/>
      <c r="T177" s="113"/>
    </row>
    <row r="178" spans="2:20" x14ac:dyDescent="0.25">
      <c r="B178" s="153"/>
      <c r="C178" s="424" t="s">
        <v>148</v>
      </c>
      <c r="D178" s="424"/>
      <c r="E178" s="424"/>
      <c r="F178" s="424"/>
      <c r="G178" s="424"/>
      <c r="H178" s="149" t="s">
        <v>123</v>
      </c>
      <c r="I178" s="269">
        <f>I$28*(I128*(I129+I130))</f>
        <v>0</v>
      </c>
      <c r="J178" s="269">
        <f>J$28*(J128*(J129+J130))</f>
        <v>0</v>
      </c>
      <c r="K178" s="269">
        <f t="shared" ref="K178:R178" si="25">K$28*(K128*(K129+K130))</f>
        <v>0</v>
      </c>
      <c r="L178" s="269">
        <f t="shared" si="25"/>
        <v>0</v>
      </c>
      <c r="M178" s="269">
        <f t="shared" si="25"/>
        <v>0</v>
      </c>
      <c r="N178" s="269">
        <f t="shared" si="25"/>
        <v>0</v>
      </c>
      <c r="O178" s="269">
        <f t="shared" si="25"/>
        <v>0</v>
      </c>
      <c r="P178" s="269">
        <f t="shared" si="25"/>
        <v>0</v>
      </c>
      <c r="Q178" s="269">
        <f t="shared" si="25"/>
        <v>0</v>
      </c>
      <c r="R178" s="269">
        <f t="shared" si="25"/>
        <v>0</v>
      </c>
      <c r="S178" s="113"/>
      <c r="T178" s="113"/>
    </row>
    <row r="179" spans="2:20" x14ac:dyDescent="0.25">
      <c r="B179" s="153"/>
      <c r="C179" s="424" t="s">
        <v>149</v>
      </c>
      <c r="D179" s="424"/>
      <c r="E179" s="424"/>
      <c r="F179" s="424"/>
      <c r="G179" s="424"/>
      <c r="H179" s="149" t="s">
        <v>123</v>
      </c>
      <c r="I179" s="269">
        <f>I$28*(I140*(I141+I142))</f>
        <v>0</v>
      </c>
      <c r="J179" s="269">
        <f>J$28*(J140*(J141+J142))</f>
        <v>0</v>
      </c>
      <c r="K179" s="269">
        <f t="shared" ref="K179:R179" si="26">K$28*(K140*(K141+K142))</f>
        <v>0</v>
      </c>
      <c r="L179" s="269">
        <f t="shared" si="26"/>
        <v>0</v>
      </c>
      <c r="M179" s="269">
        <f t="shared" si="26"/>
        <v>0</v>
      </c>
      <c r="N179" s="269">
        <f t="shared" si="26"/>
        <v>0</v>
      </c>
      <c r="O179" s="269">
        <f t="shared" si="26"/>
        <v>0</v>
      </c>
      <c r="P179" s="269">
        <f t="shared" si="26"/>
        <v>0</v>
      </c>
      <c r="Q179" s="269">
        <f t="shared" si="26"/>
        <v>0</v>
      </c>
      <c r="R179" s="269">
        <f t="shared" si="26"/>
        <v>0</v>
      </c>
      <c r="S179" s="113"/>
      <c r="T179" s="113"/>
    </row>
    <row r="180" spans="2:20" x14ac:dyDescent="0.25">
      <c r="B180" s="153"/>
      <c r="C180" s="155" t="s">
        <v>150</v>
      </c>
      <c r="D180" s="156"/>
      <c r="E180" s="156"/>
      <c r="F180" s="156"/>
      <c r="G180" s="156"/>
      <c r="H180" s="157" t="s">
        <v>123</v>
      </c>
      <c r="I180" s="270">
        <f>SUM(I170:I179)</f>
        <v>0</v>
      </c>
      <c r="J180" s="270">
        <f>SUM(J170:J179)</f>
        <v>0</v>
      </c>
      <c r="K180" s="270">
        <f t="shared" ref="K180:R180" si="27">SUM(K170:K179)</f>
        <v>0</v>
      </c>
      <c r="L180" s="270">
        <f t="shared" si="27"/>
        <v>0</v>
      </c>
      <c r="M180" s="270">
        <f t="shared" si="27"/>
        <v>0</v>
      </c>
      <c r="N180" s="270">
        <f t="shared" si="27"/>
        <v>0</v>
      </c>
      <c r="O180" s="270">
        <f t="shared" si="27"/>
        <v>0</v>
      </c>
      <c r="P180" s="270">
        <f t="shared" si="27"/>
        <v>0</v>
      </c>
      <c r="Q180" s="270">
        <f t="shared" si="27"/>
        <v>0</v>
      </c>
      <c r="R180" s="270">
        <f t="shared" si="27"/>
        <v>0</v>
      </c>
      <c r="S180" s="113"/>
      <c r="T180" s="113"/>
    </row>
    <row r="181" spans="2:20" ht="12.75" x14ac:dyDescent="0.2">
      <c r="B181" s="271"/>
      <c r="C181" s="450" t="s">
        <v>151</v>
      </c>
      <c r="D181" s="450"/>
      <c r="E181" s="450"/>
      <c r="F181" s="450"/>
      <c r="G181" s="450"/>
      <c r="H181" s="271" t="s">
        <v>123</v>
      </c>
      <c r="I181" s="272">
        <f>SUM(I180:XFD180)</f>
        <v>0</v>
      </c>
      <c r="J181" s="272"/>
      <c r="K181" s="272"/>
      <c r="L181" s="272"/>
      <c r="M181" s="272"/>
      <c r="N181" s="272"/>
      <c r="O181" s="272"/>
      <c r="P181" s="272"/>
      <c r="Q181" s="272"/>
      <c r="R181" s="272"/>
      <c r="S181" s="273"/>
      <c r="T181" s="273"/>
    </row>
    <row r="182" spans="2:20" ht="12.75" x14ac:dyDescent="0.2">
      <c r="B182" s="159"/>
      <c r="C182" s="446"/>
      <c r="D182" s="446"/>
      <c r="E182" s="446"/>
      <c r="F182" s="446"/>
      <c r="G182" s="446"/>
      <c r="H182" s="153"/>
      <c r="I182" s="274"/>
      <c r="J182" s="275"/>
      <c r="K182" s="275"/>
      <c r="L182" s="276"/>
      <c r="M182" s="276"/>
      <c r="N182" s="276"/>
      <c r="O182" s="276"/>
      <c r="P182" s="276"/>
      <c r="Q182" s="276"/>
      <c r="R182" s="276"/>
      <c r="S182" s="220"/>
      <c r="T182" s="220"/>
    </row>
    <row r="183" spans="2:20" ht="12.75" x14ac:dyDescent="0.2">
      <c r="B183" s="271"/>
      <c r="C183" s="450" t="s">
        <v>152</v>
      </c>
      <c r="D183" s="450"/>
      <c r="E183" s="450"/>
      <c r="F183" s="450"/>
      <c r="G183" s="450"/>
      <c r="H183" s="271"/>
      <c r="I183" s="277"/>
      <c r="J183" s="278"/>
      <c r="K183" s="278"/>
      <c r="L183" s="278"/>
      <c r="M183" s="278"/>
      <c r="N183" s="278"/>
      <c r="O183" s="278"/>
      <c r="P183" s="278"/>
      <c r="Q183" s="278"/>
      <c r="R183" s="278"/>
      <c r="S183" s="271"/>
      <c r="T183" s="271"/>
    </row>
    <row r="184" spans="2:20" x14ac:dyDescent="0.25">
      <c r="B184" s="159"/>
      <c r="C184" s="160" t="s">
        <v>153</v>
      </c>
      <c r="D184" s="155"/>
      <c r="E184" s="155"/>
      <c r="F184" s="155"/>
      <c r="G184" s="155"/>
      <c r="H184" s="153"/>
      <c r="I184" s="269"/>
      <c r="J184" s="279"/>
      <c r="K184" s="279"/>
      <c r="L184" s="279"/>
      <c r="M184" s="279"/>
      <c r="N184" s="279"/>
      <c r="O184" s="279"/>
      <c r="P184" s="279"/>
      <c r="Q184" s="279"/>
      <c r="R184" s="279"/>
      <c r="S184" s="113"/>
      <c r="T184" s="113"/>
    </row>
    <row r="185" spans="2:20" x14ac:dyDescent="0.25">
      <c r="B185" s="159"/>
      <c r="C185" s="448" t="s">
        <v>154</v>
      </c>
      <c r="D185" s="449"/>
      <c r="E185" s="449"/>
      <c r="F185" s="449"/>
      <c r="G185" s="449"/>
      <c r="H185" s="151"/>
      <c r="I185" s="280"/>
      <c r="J185" s="268"/>
      <c r="K185" s="268"/>
      <c r="L185" s="268"/>
      <c r="M185" s="268"/>
      <c r="N185" s="268"/>
      <c r="O185" s="268"/>
      <c r="P185" s="268"/>
      <c r="Q185" s="268"/>
      <c r="R185" s="268"/>
      <c r="S185" s="113"/>
      <c r="T185" s="113"/>
    </row>
    <row r="186" spans="2:20" x14ac:dyDescent="0.25">
      <c r="B186" s="159"/>
      <c r="C186" s="447" t="s">
        <v>140</v>
      </c>
      <c r="D186" s="427"/>
      <c r="E186" s="427"/>
      <c r="F186" s="427"/>
      <c r="G186" s="427"/>
      <c r="H186" s="159" t="s">
        <v>155</v>
      </c>
      <c r="I186" s="281">
        <f>(I$28*I32*I35*I40*$H$20)/1000</f>
        <v>0</v>
      </c>
      <c r="J186" s="281">
        <f>(J$28*J32*J35*J40*$H$20)/1000</f>
        <v>0</v>
      </c>
      <c r="K186" s="281">
        <f t="shared" ref="K186:R186" si="28">(K$28*K32*K35*K40*$H$20)/1000</f>
        <v>0</v>
      </c>
      <c r="L186" s="281">
        <f t="shared" si="28"/>
        <v>0</v>
      </c>
      <c r="M186" s="281">
        <f t="shared" si="28"/>
        <v>0</v>
      </c>
      <c r="N186" s="281">
        <f t="shared" si="28"/>
        <v>0</v>
      </c>
      <c r="O186" s="281">
        <f t="shared" si="28"/>
        <v>0</v>
      </c>
      <c r="P186" s="281">
        <f t="shared" si="28"/>
        <v>0</v>
      </c>
      <c r="Q186" s="281">
        <f t="shared" si="28"/>
        <v>0</v>
      </c>
      <c r="R186" s="281">
        <f t="shared" si="28"/>
        <v>0</v>
      </c>
      <c r="S186" s="113"/>
      <c r="T186" s="113"/>
    </row>
    <row r="187" spans="2:20" x14ac:dyDescent="0.25">
      <c r="B187" s="159"/>
      <c r="C187" s="426" t="s">
        <v>141</v>
      </c>
      <c r="D187" s="427"/>
      <c r="E187" s="427"/>
      <c r="F187" s="427"/>
      <c r="G187" s="427"/>
      <c r="H187" s="164" t="s">
        <v>155</v>
      </c>
      <c r="I187" s="281">
        <f>(I$28*I44*I47*I52*$H$20)/1000</f>
        <v>0</v>
      </c>
      <c r="J187" s="281">
        <f>(J$28*J44*J47*J52*$H$20)/1000</f>
        <v>0</v>
      </c>
      <c r="K187" s="281">
        <f t="shared" ref="K187:R187" si="29">(K$28*K44*K47*K52*$H$20)/1000</f>
        <v>0</v>
      </c>
      <c r="L187" s="281">
        <f t="shared" si="29"/>
        <v>0</v>
      </c>
      <c r="M187" s="281">
        <f t="shared" si="29"/>
        <v>0</v>
      </c>
      <c r="N187" s="281">
        <f t="shared" si="29"/>
        <v>0</v>
      </c>
      <c r="O187" s="281">
        <f t="shared" si="29"/>
        <v>0</v>
      </c>
      <c r="P187" s="281">
        <f t="shared" si="29"/>
        <v>0</v>
      </c>
      <c r="Q187" s="281">
        <f t="shared" si="29"/>
        <v>0</v>
      </c>
      <c r="R187" s="281">
        <f t="shared" si="29"/>
        <v>0</v>
      </c>
      <c r="S187" s="113"/>
      <c r="T187" s="113"/>
    </row>
    <row r="188" spans="2:20" x14ac:dyDescent="0.25">
      <c r="B188" s="159"/>
      <c r="C188" s="426" t="s">
        <v>142</v>
      </c>
      <c r="D188" s="427"/>
      <c r="E188" s="427"/>
      <c r="F188" s="427"/>
      <c r="G188" s="427"/>
      <c r="H188" s="164" t="s">
        <v>155</v>
      </c>
      <c r="I188" s="281">
        <f>(I$28*I56*I59*I64*$H$20)/1000</f>
        <v>0</v>
      </c>
      <c r="J188" s="281">
        <f>(J$28*J56*J59*J64*$H$20)/1000</f>
        <v>0</v>
      </c>
      <c r="K188" s="281">
        <f t="shared" ref="K188:R188" si="30">(K$28*K56*K59*K64*$H$20)/1000</f>
        <v>0</v>
      </c>
      <c r="L188" s="281">
        <f t="shared" si="30"/>
        <v>0</v>
      </c>
      <c r="M188" s="281">
        <f t="shared" si="30"/>
        <v>0</v>
      </c>
      <c r="N188" s="281">
        <f t="shared" si="30"/>
        <v>0</v>
      </c>
      <c r="O188" s="281">
        <f t="shared" si="30"/>
        <v>0</v>
      </c>
      <c r="P188" s="281">
        <f t="shared" si="30"/>
        <v>0</v>
      </c>
      <c r="Q188" s="281">
        <f t="shared" si="30"/>
        <v>0</v>
      </c>
      <c r="R188" s="281">
        <f t="shared" si="30"/>
        <v>0</v>
      </c>
      <c r="S188" s="113"/>
      <c r="T188" s="113"/>
    </row>
    <row r="189" spans="2:20" x14ac:dyDescent="0.25">
      <c r="B189" s="159"/>
      <c r="C189" s="426" t="s">
        <v>143</v>
      </c>
      <c r="D189" s="427"/>
      <c r="E189" s="427"/>
      <c r="F189" s="427"/>
      <c r="G189" s="427"/>
      <c r="H189" s="164" t="s">
        <v>155</v>
      </c>
      <c r="I189" s="281">
        <f>(I$28*I68*I71*I76*$H$20)/1000</f>
        <v>0</v>
      </c>
      <c r="J189" s="281">
        <f>(J$28*J68*J71*J76*$H$20)/1000</f>
        <v>0</v>
      </c>
      <c r="K189" s="281">
        <f t="shared" ref="K189:R189" si="31">(K$28*K68*K71*K76*$H$20)/1000</f>
        <v>0</v>
      </c>
      <c r="L189" s="281">
        <f t="shared" si="31"/>
        <v>0</v>
      </c>
      <c r="M189" s="281">
        <f t="shared" si="31"/>
        <v>0</v>
      </c>
      <c r="N189" s="281">
        <f t="shared" si="31"/>
        <v>0</v>
      </c>
      <c r="O189" s="281">
        <f t="shared" si="31"/>
        <v>0</v>
      </c>
      <c r="P189" s="281">
        <f t="shared" si="31"/>
        <v>0</v>
      </c>
      <c r="Q189" s="281">
        <f t="shared" si="31"/>
        <v>0</v>
      </c>
      <c r="R189" s="281">
        <f t="shared" si="31"/>
        <v>0</v>
      </c>
      <c r="S189" s="113"/>
      <c r="T189" s="113"/>
    </row>
    <row r="190" spans="2:20" x14ac:dyDescent="0.25">
      <c r="B190" s="159"/>
      <c r="C190" s="426" t="s">
        <v>144</v>
      </c>
      <c r="D190" s="427"/>
      <c r="E190" s="427"/>
      <c r="F190" s="427"/>
      <c r="G190" s="427"/>
      <c r="H190" s="164" t="s">
        <v>155</v>
      </c>
      <c r="I190" s="281">
        <f>(I$28*I80*I83*I88*$H$20)/1000</f>
        <v>0</v>
      </c>
      <c r="J190" s="281">
        <f>(J$28*J80*J83*J88*$H$20)/1000</f>
        <v>0</v>
      </c>
      <c r="K190" s="281">
        <f t="shared" ref="K190:R190" si="32">(K$28*K80*K83*K88*$H$20)/1000</f>
        <v>0</v>
      </c>
      <c r="L190" s="281">
        <f t="shared" si="32"/>
        <v>0</v>
      </c>
      <c r="M190" s="281">
        <f t="shared" si="32"/>
        <v>0</v>
      </c>
      <c r="N190" s="281">
        <f t="shared" si="32"/>
        <v>0</v>
      </c>
      <c r="O190" s="281">
        <f t="shared" si="32"/>
        <v>0</v>
      </c>
      <c r="P190" s="281">
        <f t="shared" si="32"/>
        <v>0</v>
      </c>
      <c r="Q190" s="281">
        <f t="shared" si="32"/>
        <v>0</v>
      </c>
      <c r="R190" s="281">
        <f t="shared" si="32"/>
        <v>0</v>
      </c>
      <c r="S190" s="113"/>
      <c r="T190" s="113"/>
    </row>
    <row r="191" spans="2:20" x14ac:dyDescent="0.25">
      <c r="B191" s="159"/>
      <c r="C191" s="426" t="s">
        <v>145</v>
      </c>
      <c r="D191" s="427"/>
      <c r="E191" s="427"/>
      <c r="F191" s="427"/>
      <c r="G191" s="427"/>
      <c r="H191" s="164" t="s">
        <v>155</v>
      </c>
      <c r="I191" s="281">
        <f>(I$28*I92*I95*I100*$H$20)/1000</f>
        <v>0</v>
      </c>
      <c r="J191" s="281">
        <f>(J$28*J92*J95*J100*$H$20)/1000</f>
        <v>0</v>
      </c>
      <c r="K191" s="281">
        <f t="shared" ref="K191:R191" si="33">(K$28*K92*K95*K100*$H$20)/1000</f>
        <v>0</v>
      </c>
      <c r="L191" s="281">
        <f t="shared" si="33"/>
        <v>0</v>
      </c>
      <c r="M191" s="281">
        <f t="shared" si="33"/>
        <v>0</v>
      </c>
      <c r="N191" s="281">
        <f t="shared" si="33"/>
        <v>0</v>
      </c>
      <c r="O191" s="281">
        <f t="shared" si="33"/>
        <v>0</v>
      </c>
      <c r="P191" s="281">
        <f t="shared" si="33"/>
        <v>0</v>
      </c>
      <c r="Q191" s="281">
        <f t="shared" si="33"/>
        <v>0</v>
      </c>
      <c r="R191" s="281">
        <f t="shared" si="33"/>
        <v>0</v>
      </c>
      <c r="S191" s="113"/>
      <c r="T191" s="113"/>
    </row>
    <row r="192" spans="2:20" x14ac:dyDescent="0.25">
      <c r="B192" s="159"/>
      <c r="C192" s="426" t="s">
        <v>146</v>
      </c>
      <c r="D192" s="427"/>
      <c r="E192" s="427"/>
      <c r="F192" s="427"/>
      <c r="G192" s="427"/>
      <c r="H192" s="164" t="s">
        <v>155</v>
      </c>
      <c r="I192" s="281">
        <f>(I$28*I104*I107*I112*$H$20)/1000</f>
        <v>0</v>
      </c>
      <c r="J192" s="281">
        <f>(J$28*J104*J107*J112*$H$20)/1000</f>
        <v>0</v>
      </c>
      <c r="K192" s="281">
        <f t="shared" ref="K192:R192" si="34">(K$28*K104*K107*K112*$H$20)/1000</f>
        <v>0</v>
      </c>
      <c r="L192" s="281">
        <f t="shared" si="34"/>
        <v>0</v>
      </c>
      <c r="M192" s="281">
        <f t="shared" si="34"/>
        <v>0</v>
      </c>
      <c r="N192" s="281">
        <f t="shared" si="34"/>
        <v>0</v>
      </c>
      <c r="O192" s="281">
        <f t="shared" si="34"/>
        <v>0</v>
      </c>
      <c r="P192" s="281">
        <f t="shared" si="34"/>
        <v>0</v>
      </c>
      <c r="Q192" s="281">
        <f t="shared" si="34"/>
        <v>0</v>
      </c>
      <c r="R192" s="281">
        <f t="shared" si="34"/>
        <v>0</v>
      </c>
      <c r="S192" s="113"/>
      <c r="T192" s="113"/>
    </row>
    <row r="193" spans="2:20" x14ac:dyDescent="0.25">
      <c r="B193" s="159"/>
      <c r="C193" s="426" t="s">
        <v>147</v>
      </c>
      <c r="D193" s="427"/>
      <c r="E193" s="427"/>
      <c r="F193" s="427"/>
      <c r="G193" s="427"/>
      <c r="H193" s="164" t="s">
        <v>155</v>
      </c>
      <c r="I193" s="281">
        <f>(I$28*I116*I119*I124*$H$20)/1000</f>
        <v>0</v>
      </c>
      <c r="J193" s="281">
        <f>(J$28*J116*J119*J124*$H$20)/1000</f>
        <v>0</v>
      </c>
      <c r="K193" s="281">
        <f t="shared" ref="K193:R193" si="35">(K$28*K116*K119*K124*$H$20)/1000</f>
        <v>0</v>
      </c>
      <c r="L193" s="281">
        <f t="shared" si="35"/>
        <v>0</v>
      </c>
      <c r="M193" s="281">
        <f t="shared" si="35"/>
        <v>0</v>
      </c>
      <c r="N193" s="281">
        <f t="shared" si="35"/>
        <v>0</v>
      </c>
      <c r="O193" s="281">
        <f t="shared" si="35"/>
        <v>0</v>
      </c>
      <c r="P193" s="281">
        <f t="shared" si="35"/>
        <v>0</v>
      </c>
      <c r="Q193" s="281">
        <f t="shared" si="35"/>
        <v>0</v>
      </c>
      <c r="R193" s="281">
        <f t="shared" si="35"/>
        <v>0</v>
      </c>
      <c r="S193" s="113"/>
      <c r="T193" s="113"/>
    </row>
    <row r="194" spans="2:20" x14ac:dyDescent="0.25">
      <c r="B194" s="159"/>
      <c r="C194" s="426" t="s">
        <v>148</v>
      </c>
      <c r="D194" s="427"/>
      <c r="E194" s="427"/>
      <c r="F194" s="427"/>
      <c r="G194" s="427"/>
      <c r="H194" s="164" t="s">
        <v>155</v>
      </c>
      <c r="I194" s="281">
        <f>(I$28*I28*I131*I136*$H$20)/1000</f>
        <v>0</v>
      </c>
      <c r="J194" s="281">
        <f>(J$28*J28*J131*J136*$H$20)/1000</f>
        <v>0</v>
      </c>
      <c r="K194" s="281">
        <f t="shared" ref="K194:R194" si="36">(K$28*K28*K131*K136*$H$20)/1000</f>
        <v>0</v>
      </c>
      <c r="L194" s="281">
        <f t="shared" si="36"/>
        <v>0</v>
      </c>
      <c r="M194" s="281">
        <f t="shared" si="36"/>
        <v>0</v>
      </c>
      <c r="N194" s="281">
        <f t="shared" si="36"/>
        <v>0</v>
      </c>
      <c r="O194" s="281">
        <f t="shared" si="36"/>
        <v>0</v>
      </c>
      <c r="P194" s="281">
        <f t="shared" si="36"/>
        <v>0</v>
      </c>
      <c r="Q194" s="281">
        <f t="shared" si="36"/>
        <v>0</v>
      </c>
      <c r="R194" s="281">
        <f t="shared" si="36"/>
        <v>0</v>
      </c>
      <c r="S194" s="113"/>
      <c r="T194" s="113"/>
    </row>
    <row r="195" spans="2:20" x14ac:dyDescent="0.25">
      <c r="B195" s="159"/>
      <c r="C195" s="426" t="s">
        <v>149</v>
      </c>
      <c r="D195" s="427"/>
      <c r="E195" s="427"/>
      <c r="F195" s="427"/>
      <c r="G195" s="427"/>
      <c r="H195" s="164" t="s">
        <v>155</v>
      </c>
      <c r="I195" s="281">
        <f>(I$28*I140*I143*I148*$H$20)/1000</f>
        <v>0</v>
      </c>
      <c r="J195" s="281">
        <f>(J$28*J140*J143*J148*$H$20)/1000</f>
        <v>0</v>
      </c>
      <c r="K195" s="281">
        <f t="shared" ref="K195:R195" si="37">(K$28*K140*K143*K148*$H$20)/1000</f>
        <v>0</v>
      </c>
      <c r="L195" s="281">
        <f t="shared" si="37"/>
        <v>0</v>
      </c>
      <c r="M195" s="281">
        <f t="shared" si="37"/>
        <v>0</v>
      </c>
      <c r="N195" s="281">
        <f t="shared" si="37"/>
        <v>0</v>
      </c>
      <c r="O195" s="281">
        <f t="shared" si="37"/>
        <v>0</v>
      </c>
      <c r="P195" s="281">
        <f t="shared" si="37"/>
        <v>0</v>
      </c>
      <c r="Q195" s="281">
        <f t="shared" si="37"/>
        <v>0</v>
      </c>
      <c r="R195" s="281">
        <f t="shared" si="37"/>
        <v>0</v>
      </c>
      <c r="S195" s="113"/>
      <c r="T195" s="113"/>
    </row>
    <row r="196" spans="2:20" s="226" customFormat="1" x14ac:dyDescent="0.25">
      <c r="B196" s="165"/>
      <c r="C196" s="166" t="s">
        <v>156</v>
      </c>
      <c r="D196" s="167"/>
      <c r="E196" s="167"/>
      <c r="F196" s="167"/>
      <c r="G196" s="167"/>
      <c r="H196" s="168" t="s">
        <v>157</v>
      </c>
      <c r="I196" s="282">
        <f>SUM(I186:I195)</f>
        <v>0</v>
      </c>
      <c r="J196" s="282">
        <f>SUM(J186:J195)</f>
        <v>0</v>
      </c>
      <c r="K196" s="282">
        <f t="shared" ref="K196:R196" si="38">SUM(K186:K195)</f>
        <v>0</v>
      </c>
      <c r="L196" s="282">
        <f t="shared" si="38"/>
        <v>0</v>
      </c>
      <c r="M196" s="282">
        <f t="shared" si="38"/>
        <v>0</v>
      </c>
      <c r="N196" s="282">
        <f t="shared" si="38"/>
        <v>0</v>
      </c>
      <c r="O196" s="282">
        <f t="shared" si="38"/>
        <v>0</v>
      </c>
      <c r="P196" s="282">
        <f t="shared" si="38"/>
        <v>0</v>
      </c>
      <c r="Q196" s="282">
        <f t="shared" si="38"/>
        <v>0</v>
      </c>
      <c r="R196" s="282">
        <f t="shared" si="38"/>
        <v>0</v>
      </c>
      <c r="S196" s="113"/>
      <c r="T196" s="113"/>
    </row>
    <row r="197" spans="2:20" s="227" customFormat="1" x14ac:dyDescent="0.25">
      <c r="B197" s="169"/>
      <c r="C197" s="160" t="s">
        <v>158</v>
      </c>
      <c r="D197" s="155"/>
      <c r="E197" s="155"/>
      <c r="F197" s="155"/>
      <c r="G197" s="155"/>
      <c r="H197" s="153" t="s">
        <v>157</v>
      </c>
      <c r="I197" s="269">
        <f>SUM(I196:XFD196)</f>
        <v>0</v>
      </c>
      <c r="J197" s="269"/>
      <c r="K197" s="269"/>
      <c r="L197" s="269"/>
      <c r="M197" s="269"/>
      <c r="N197" s="269"/>
      <c r="O197" s="269"/>
      <c r="P197" s="269"/>
      <c r="Q197" s="269"/>
      <c r="R197" s="269"/>
      <c r="S197" s="113"/>
      <c r="T197" s="113"/>
    </row>
    <row r="198" spans="2:20" x14ac:dyDescent="0.25">
      <c r="B198" s="159"/>
      <c r="C198" s="170"/>
      <c r="D198" s="171"/>
      <c r="E198" s="171"/>
      <c r="F198" s="171"/>
      <c r="G198" s="171"/>
      <c r="H198" s="169"/>
      <c r="I198" s="283"/>
      <c r="J198" s="283"/>
      <c r="K198" s="283"/>
      <c r="L198" s="283"/>
      <c r="M198" s="283"/>
      <c r="N198" s="283"/>
      <c r="O198" s="283"/>
      <c r="P198" s="283"/>
      <c r="Q198" s="283"/>
      <c r="R198" s="283"/>
      <c r="S198" s="113"/>
      <c r="T198" s="113"/>
    </row>
    <row r="199" spans="2:20" x14ac:dyDescent="0.25">
      <c r="B199" s="159"/>
      <c r="C199" s="172" t="s">
        <v>159</v>
      </c>
      <c r="D199" s="173"/>
      <c r="E199" s="173"/>
      <c r="F199" s="173"/>
      <c r="G199" s="173"/>
      <c r="H199" s="174" t="s">
        <v>106</v>
      </c>
      <c r="I199" s="284">
        <f>$H$17*I196</f>
        <v>0</v>
      </c>
      <c r="J199" s="284">
        <f>$H$17*J196</f>
        <v>0</v>
      </c>
      <c r="K199" s="284">
        <f t="shared" ref="K199:R199" si="39">$H$17*K196</f>
        <v>0</v>
      </c>
      <c r="L199" s="284">
        <f t="shared" si="39"/>
        <v>0</v>
      </c>
      <c r="M199" s="284">
        <f t="shared" si="39"/>
        <v>0</v>
      </c>
      <c r="N199" s="284">
        <f t="shared" si="39"/>
        <v>0</v>
      </c>
      <c r="O199" s="284">
        <f t="shared" si="39"/>
        <v>0</v>
      </c>
      <c r="P199" s="284">
        <f t="shared" si="39"/>
        <v>0</v>
      </c>
      <c r="Q199" s="284">
        <f t="shared" si="39"/>
        <v>0</v>
      </c>
      <c r="R199" s="284">
        <f t="shared" si="39"/>
        <v>0</v>
      </c>
      <c r="S199" s="113"/>
      <c r="T199" s="113"/>
    </row>
    <row r="200" spans="2:20" x14ac:dyDescent="0.25">
      <c r="B200" s="159"/>
      <c r="C200" s="170" t="s">
        <v>160</v>
      </c>
      <c r="D200" s="171"/>
      <c r="E200" s="171"/>
      <c r="F200" s="171"/>
      <c r="G200" s="171"/>
      <c r="H200" s="169" t="s">
        <v>106</v>
      </c>
      <c r="I200" s="283">
        <f>$H$17*I197</f>
        <v>0</v>
      </c>
      <c r="J200" s="283"/>
      <c r="K200" s="283"/>
      <c r="L200" s="283"/>
      <c r="M200" s="283"/>
      <c r="N200" s="283"/>
      <c r="O200" s="283"/>
      <c r="P200" s="283"/>
      <c r="Q200" s="283"/>
      <c r="R200" s="283"/>
      <c r="S200" s="113"/>
      <c r="T200" s="113"/>
    </row>
    <row r="201" spans="2:20" x14ac:dyDescent="0.25">
      <c r="B201" s="159"/>
      <c r="C201" s="172" t="s">
        <v>161</v>
      </c>
      <c r="D201" s="173"/>
      <c r="E201" s="173"/>
      <c r="F201" s="173"/>
      <c r="G201" s="173"/>
      <c r="H201" s="174"/>
      <c r="I201" s="285">
        <f>IF($H$16=$H$18,$H$15,(1/($H$16-$H$18))*(1-((1+$H$18)/(1+$H$16))^$H$15))</f>
        <v>0</v>
      </c>
      <c r="J201" s="283"/>
      <c r="K201" s="283"/>
      <c r="L201" s="283"/>
      <c r="M201" s="283"/>
      <c r="N201" s="283"/>
      <c r="O201" s="283"/>
      <c r="P201" s="283"/>
      <c r="Q201" s="283"/>
      <c r="R201" s="283"/>
      <c r="S201" s="113"/>
      <c r="T201" s="113"/>
    </row>
    <row r="202" spans="2:20" x14ac:dyDescent="0.25">
      <c r="B202" s="159"/>
      <c r="C202" s="170" t="s">
        <v>133</v>
      </c>
      <c r="D202" s="171"/>
      <c r="E202" s="171"/>
      <c r="F202" s="171"/>
      <c r="G202" s="171"/>
      <c r="H202" s="169" t="s">
        <v>123</v>
      </c>
      <c r="I202" s="283">
        <f>I200*I201</f>
        <v>0</v>
      </c>
      <c r="J202" s="283"/>
      <c r="K202" s="283"/>
      <c r="L202" s="283"/>
      <c r="M202" s="283"/>
      <c r="N202" s="283"/>
      <c r="O202" s="283"/>
      <c r="P202" s="283"/>
      <c r="Q202" s="283"/>
      <c r="R202" s="283"/>
      <c r="S202" s="113"/>
      <c r="T202" s="113"/>
    </row>
    <row r="203" spans="2:20" x14ac:dyDescent="0.25">
      <c r="B203" s="159"/>
      <c r="C203" s="171"/>
      <c r="D203" s="171"/>
      <c r="E203" s="171"/>
      <c r="F203" s="171"/>
      <c r="G203" s="171"/>
      <c r="H203" s="169"/>
      <c r="I203" s="283"/>
      <c r="J203" s="283"/>
      <c r="K203" s="283"/>
      <c r="L203" s="283"/>
      <c r="M203" s="283"/>
      <c r="N203" s="283"/>
      <c r="O203" s="283"/>
      <c r="P203" s="283"/>
      <c r="Q203" s="283"/>
      <c r="R203" s="283"/>
      <c r="S203" s="113"/>
      <c r="T203" s="113"/>
    </row>
    <row r="204" spans="2:20" x14ac:dyDescent="0.25">
      <c r="B204" s="159"/>
      <c r="C204" s="172" t="s">
        <v>162</v>
      </c>
      <c r="D204" s="173"/>
      <c r="E204" s="173"/>
      <c r="F204" s="173"/>
      <c r="G204" s="173"/>
      <c r="H204" s="174"/>
      <c r="I204" s="284"/>
      <c r="J204" s="284"/>
      <c r="K204" s="284"/>
      <c r="L204" s="284"/>
      <c r="M204" s="284"/>
      <c r="N204" s="284"/>
      <c r="O204" s="284"/>
      <c r="P204" s="284"/>
      <c r="Q204" s="284"/>
      <c r="R204" s="284"/>
      <c r="S204" s="113"/>
      <c r="T204" s="113"/>
    </row>
    <row r="205" spans="2:20" x14ac:dyDescent="0.25">
      <c r="B205" s="159"/>
      <c r="C205" s="163" t="s">
        <v>163</v>
      </c>
      <c r="D205" s="162"/>
      <c r="E205" s="162"/>
      <c r="F205" s="162"/>
      <c r="G205" s="162"/>
      <c r="H205" s="159" t="s">
        <v>106</v>
      </c>
      <c r="I205" s="281">
        <f>I41</f>
        <v>0</v>
      </c>
      <c r="J205" s="281">
        <f>J41</f>
        <v>0</v>
      </c>
      <c r="K205" s="281">
        <f t="shared" ref="K205:R205" si="40">K41</f>
        <v>0</v>
      </c>
      <c r="L205" s="281">
        <f t="shared" si="40"/>
        <v>0</v>
      </c>
      <c r="M205" s="281">
        <f t="shared" si="40"/>
        <v>0</v>
      </c>
      <c r="N205" s="281">
        <f t="shared" si="40"/>
        <v>0</v>
      </c>
      <c r="O205" s="281">
        <f t="shared" si="40"/>
        <v>0</v>
      </c>
      <c r="P205" s="281">
        <f t="shared" si="40"/>
        <v>0</v>
      </c>
      <c r="Q205" s="281">
        <f t="shared" si="40"/>
        <v>0</v>
      </c>
      <c r="R205" s="281">
        <f t="shared" si="40"/>
        <v>0</v>
      </c>
      <c r="S205" s="113"/>
      <c r="T205" s="113"/>
    </row>
    <row r="206" spans="2:20" x14ac:dyDescent="0.25">
      <c r="B206" s="159"/>
      <c r="C206" s="425" t="s">
        <v>164</v>
      </c>
      <c r="D206" s="424"/>
      <c r="E206" s="424"/>
      <c r="F206" s="424"/>
      <c r="G206" s="424"/>
      <c r="H206" s="149" t="s">
        <v>106</v>
      </c>
      <c r="I206" s="269">
        <f>I53</f>
        <v>0</v>
      </c>
      <c r="J206" s="269">
        <f>J53</f>
        <v>0</v>
      </c>
      <c r="K206" s="269">
        <f t="shared" ref="K206:R206" si="41">K53</f>
        <v>0</v>
      </c>
      <c r="L206" s="269">
        <f t="shared" si="41"/>
        <v>0</v>
      </c>
      <c r="M206" s="269">
        <f t="shared" si="41"/>
        <v>0</v>
      </c>
      <c r="N206" s="269">
        <f t="shared" si="41"/>
        <v>0</v>
      </c>
      <c r="O206" s="269">
        <f t="shared" si="41"/>
        <v>0</v>
      </c>
      <c r="P206" s="269">
        <f t="shared" si="41"/>
        <v>0</v>
      </c>
      <c r="Q206" s="269">
        <f t="shared" si="41"/>
        <v>0</v>
      </c>
      <c r="R206" s="269">
        <f t="shared" si="41"/>
        <v>0</v>
      </c>
      <c r="S206" s="113"/>
      <c r="T206" s="113"/>
    </row>
    <row r="207" spans="2:20" x14ac:dyDescent="0.25">
      <c r="B207" s="159"/>
      <c r="C207" s="163" t="s">
        <v>165</v>
      </c>
      <c r="D207" s="162"/>
      <c r="E207" s="162"/>
      <c r="F207" s="162"/>
      <c r="G207" s="162"/>
      <c r="H207" s="159" t="s">
        <v>106</v>
      </c>
      <c r="I207" s="269">
        <f>I65</f>
        <v>0</v>
      </c>
      <c r="J207" s="269">
        <f>J65</f>
        <v>0</v>
      </c>
      <c r="K207" s="269">
        <f t="shared" ref="K207:R207" si="42">K65</f>
        <v>0</v>
      </c>
      <c r="L207" s="269">
        <f t="shared" si="42"/>
        <v>0</v>
      </c>
      <c r="M207" s="269">
        <f t="shared" si="42"/>
        <v>0</v>
      </c>
      <c r="N207" s="269">
        <f t="shared" si="42"/>
        <v>0</v>
      </c>
      <c r="O207" s="269">
        <f t="shared" si="42"/>
        <v>0</v>
      </c>
      <c r="P207" s="269">
        <f t="shared" si="42"/>
        <v>0</v>
      </c>
      <c r="Q207" s="269">
        <f t="shared" si="42"/>
        <v>0</v>
      </c>
      <c r="R207" s="269">
        <f t="shared" si="42"/>
        <v>0</v>
      </c>
      <c r="S207" s="113"/>
      <c r="T207" s="113"/>
    </row>
    <row r="208" spans="2:20" x14ac:dyDescent="0.25">
      <c r="B208" s="159"/>
      <c r="C208" s="425" t="s">
        <v>166</v>
      </c>
      <c r="D208" s="424"/>
      <c r="E208" s="424"/>
      <c r="F208" s="424"/>
      <c r="G208" s="424"/>
      <c r="H208" s="149" t="s">
        <v>106</v>
      </c>
      <c r="I208" s="269">
        <f>I77</f>
        <v>0</v>
      </c>
      <c r="J208" s="269">
        <f>J77</f>
        <v>0</v>
      </c>
      <c r="K208" s="269">
        <f t="shared" ref="K208:R208" si="43">K77</f>
        <v>0</v>
      </c>
      <c r="L208" s="269">
        <f t="shared" si="43"/>
        <v>0</v>
      </c>
      <c r="M208" s="269">
        <f t="shared" si="43"/>
        <v>0</v>
      </c>
      <c r="N208" s="269">
        <f t="shared" si="43"/>
        <v>0</v>
      </c>
      <c r="O208" s="269">
        <f t="shared" si="43"/>
        <v>0</v>
      </c>
      <c r="P208" s="269">
        <f t="shared" si="43"/>
        <v>0</v>
      </c>
      <c r="Q208" s="269">
        <f t="shared" si="43"/>
        <v>0</v>
      </c>
      <c r="R208" s="269">
        <f t="shared" si="43"/>
        <v>0</v>
      </c>
      <c r="S208" s="113"/>
      <c r="T208" s="113"/>
    </row>
    <row r="209" spans="2:20" x14ac:dyDescent="0.25">
      <c r="B209" s="159"/>
      <c r="C209" s="163" t="s">
        <v>167</v>
      </c>
      <c r="D209" s="162"/>
      <c r="E209" s="162"/>
      <c r="F209" s="162"/>
      <c r="G209" s="162"/>
      <c r="H209" s="159" t="s">
        <v>106</v>
      </c>
      <c r="I209" s="269">
        <f>I89</f>
        <v>0</v>
      </c>
      <c r="J209" s="269">
        <f>J89</f>
        <v>0</v>
      </c>
      <c r="K209" s="269">
        <f t="shared" ref="K209:R209" si="44">K89</f>
        <v>0</v>
      </c>
      <c r="L209" s="269">
        <f t="shared" si="44"/>
        <v>0</v>
      </c>
      <c r="M209" s="269">
        <f t="shared" si="44"/>
        <v>0</v>
      </c>
      <c r="N209" s="269">
        <f t="shared" si="44"/>
        <v>0</v>
      </c>
      <c r="O209" s="269">
        <f t="shared" si="44"/>
        <v>0</v>
      </c>
      <c r="P209" s="269">
        <f t="shared" si="44"/>
        <v>0</v>
      </c>
      <c r="Q209" s="269">
        <f t="shared" si="44"/>
        <v>0</v>
      </c>
      <c r="R209" s="269">
        <f t="shared" si="44"/>
        <v>0</v>
      </c>
      <c r="S209" s="113"/>
      <c r="T209" s="113"/>
    </row>
    <row r="210" spans="2:20" x14ac:dyDescent="0.25">
      <c r="B210" s="159"/>
      <c r="C210" s="425" t="s">
        <v>168</v>
      </c>
      <c r="D210" s="424"/>
      <c r="E210" s="424"/>
      <c r="F210" s="424"/>
      <c r="G210" s="424"/>
      <c r="H210" s="149" t="s">
        <v>106</v>
      </c>
      <c r="I210" s="269">
        <f>I101</f>
        <v>0</v>
      </c>
      <c r="J210" s="269">
        <f>J101</f>
        <v>0</v>
      </c>
      <c r="K210" s="269">
        <f t="shared" ref="K210:R210" si="45">K101</f>
        <v>0</v>
      </c>
      <c r="L210" s="269">
        <f t="shared" si="45"/>
        <v>0</v>
      </c>
      <c r="M210" s="269">
        <f t="shared" si="45"/>
        <v>0</v>
      </c>
      <c r="N210" s="269">
        <f t="shared" si="45"/>
        <v>0</v>
      </c>
      <c r="O210" s="269">
        <f t="shared" si="45"/>
        <v>0</v>
      </c>
      <c r="P210" s="269">
        <f t="shared" si="45"/>
        <v>0</v>
      </c>
      <c r="Q210" s="269">
        <f t="shared" si="45"/>
        <v>0</v>
      </c>
      <c r="R210" s="269">
        <f t="shared" si="45"/>
        <v>0</v>
      </c>
      <c r="S210" s="113"/>
      <c r="T210" s="113"/>
    </row>
    <row r="211" spans="2:20" x14ac:dyDescent="0.25">
      <c r="B211" s="159"/>
      <c r="C211" s="163" t="s">
        <v>169</v>
      </c>
      <c r="D211" s="162"/>
      <c r="E211" s="162"/>
      <c r="F211" s="162"/>
      <c r="G211" s="162"/>
      <c r="H211" s="159" t="s">
        <v>106</v>
      </c>
      <c r="I211" s="269">
        <f>I113</f>
        <v>0</v>
      </c>
      <c r="J211" s="269">
        <f>J113</f>
        <v>0</v>
      </c>
      <c r="K211" s="269">
        <f t="shared" ref="K211:R211" si="46">K113</f>
        <v>0</v>
      </c>
      <c r="L211" s="269">
        <f t="shared" si="46"/>
        <v>0</v>
      </c>
      <c r="M211" s="269">
        <f t="shared" si="46"/>
        <v>0</v>
      </c>
      <c r="N211" s="269">
        <f t="shared" si="46"/>
        <v>0</v>
      </c>
      <c r="O211" s="269">
        <f t="shared" si="46"/>
        <v>0</v>
      </c>
      <c r="P211" s="269">
        <f t="shared" si="46"/>
        <v>0</v>
      </c>
      <c r="Q211" s="269">
        <f t="shared" si="46"/>
        <v>0</v>
      </c>
      <c r="R211" s="269">
        <f t="shared" si="46"/>
        <v>0</v>
      </c>
      <c r="S211" s="113"/>
      <c r="T211" s="113"/>
    </row>
    <row r="212" spans="2:20" x14ac:dyDescent="0.25">
      <c r="B212" s="159"/>
      <c r="C212" s="425" t="s">
        <v>170</v>
      </c>
      <c r="D212" s="424"/>
      <c r="E212" s="424"/>
      <c r="F212" s="424"/>
      <c r="G212" s="424"/>
      <c r="H212" s="149" t="s">
        <v>106</v>
      </c>
      <c r="I212" s="269">
        <f>I125</f>
        <v>0</v>
      </c>
      <c r="J212" s="269">
        <f>J125</f>
        <v>0</v>
      </c>
      <c r="K212" s="269">
        <f t="shared" ref="K212:R212" si="47">K125</f>
        <v>0</v>
      </c>
      <c r="L212" s="269">
        <f t="shared" si="47"/>
        <v>0</v>
      </c>
      <c r="M212" s="269">
        <f t="shared" si="47"/>
        <v>0</v>
      </c>
      <c r="N212" s="269">
        <f t="shared" si="47"/>
        <v>0</v>
      </c>
      <c r="O212" s="269">
        <f t="shared" si="47"/>
        <v>0</v>
      </c>
      <c r="P212" s="269">
        <f t="shared" si="47"/>
        <v>0</v>
      </c>
      <c r="Q212" s="269">
        <f t="shared" si="47"/>
        <v>0</v>
      </c>
      <c r="R212" s="269">
        <f t="shared" si="47"/>
        <v>0</v>
      </c>
      <c r="S212" s="113"/>
      <c r="T212" s="113"/>
    </row>
    <row r="213" spans="2:20" x14ac:dyDescent="0.25">
      <c r="B213" s="159"/>
      <c r="C213" s="163" t="s">
        <v>171</v>
      </c>
      <c r="D213" s="162"/>
      <c r="E213" s="162"/>
      <c r="F213" s="162"/>
      <c r="G213" s="162"/>
      <c r="H213" s="159" t="s">
        <v>106</v>
      </c>
      <c r="I213" s="269">
        <f>I137</f>
        <v>0</v>
      </c>
      <c r="J213" s="269">
        <f>J137</f>
        <v>0</v>
      </c>
      <c r="K213" s="269">
        <f t="shared" ref="K213:R213" si="48">K137</f>
        <v>0</v>
      </c>
      <c r="L213" s="269">
        <f t="shared" si="48"/>
        <v>0</v>
      </c>
      <c r="M213" s="269">
        <f t="shared" si="48"/>
        <v>0</v>
      </c>
      <c r="N213" s="269">
        <f t="shared" si="48"/>
        <v>0</v>
      </c>
      <c r="O213" s="269">
        <f t="shared" si="48"/>
        <v>0</v>
      </c>
      <c r="P213" s="269">
        <f t="shared" si="48"/>
        <v>0</v>
      </c>
      <c r="Q213" s="269">
        <f t="shared" si="48"/>
        <v>0</v>
      </c>
      <c r="R213" s="269">
        <f t="shared" si="48"/>
        <v>0</v>
      </c>
      <c r="S213" s="113"/>
      <c r="T213" s="113"/>
    </row>
    <row r="214" spans="2:20" x14ac:dyDescent="0.25">
      <c r="B214" s="159"/>
      <c r="C214" s="425" t="s">
        <v>172</v>
      </c>
      <c r="D214" s="424"/>
      <c r="E214" s="424"/>
      <c r="F214" s="424"/>
      <c r="G214" s="424"/>
      <c r="H214" s="149" t="s">
        <v>106</v>
      </c>
      <c r="I214" s="269">
        <f>I149</f>
        <v>0</v>
      </c>
      <c r="J214" s="269">
        <f>J149</f>
        <v>0</v>
      </c>
      <c r="K214" s="269">
        <f t="shared" ref="K214:R214" si="49">K149</f>
        <v>0</v>
      </c>
      <c r="L214" s="269">
        <f t="shared" si="49"/>
        <v>0</v>
      </c>
      <c r="M214" s="269">
        <f t="shared" si="49"/>
        <v>0</v>
      </c>
      <c r="N214" s="269">
        <f t="shared" si="49"/>
        <v>0</v>
      </c>
      <c r="O214" s="269">
        <f t="shared" si="49"/>
        <v>0</v>
      </c>
      <c r="P214" s="269">
        <f t="shared" si="49"/>
        <v>0</v>
      </c>
      <c r="Q214" s="269">
        <f t="shared" si="49"/>
        <v>0</v>
      </c>
      <c r="R214" s="269">
        <f t="shared" si="49"/>
        <v>0</v>
      </c>
      <c r="S214" s="113"/>
      <c r="T214" s="113"/>
    </row>
    <row r="215" spans="2:20" x14ac:dyDescent="0.25">
      <c r="B215" s="159"/>
      <c r="C215" s="175" t="s">
        <v>173</v>
      </c>
      <c r="D215" s="167"/>
      <c r="E215" s="167"/>
      <c r="F215" s="167"/>
      <c r="G215" s="167"/>
      <c r="H215" s="168" t="s">
        <v>106</v>
      </c>
      <c r="I215" s="282">
        <f>SUM(I205:I214)</f>
        <v>0</v>
      </c>
      <c r="J215" s="282">
        <f>SUM(J205:J214)</f>
        <v>0</v>
      </c>
      <c r="K215" s="282">
        <f t="shared" ref="K215:R215" si="50">SUM(K205:K214)</f>
        <v>0</v>
      </c>
      <c r="L215" s="282">
        <f t="shared" si="50"/>
        <v>0</v>
      </c>
      <c r="M215" s="282">
        <f t="shared" si="50"/>
        <v>0</v>
      </c>
      <c r="N215" s="282">
        <f t="shared" si="50"/>
        <v>0</v>
      </c>
      <c r="O215" s="282">
        <f t="shared" si="50"/>
        <v>0</v>
      </c>
      <c r="P215" s="282">
        <f t="shared" si="50"/>
        <v>0</v>
      </c>
      <c r="Q215" s="282">
        <f t="shared" si="50"/>
        <v>0</v>
      </c>
      <c r="R215" s="282">
        <f t="shared" si="50"/>
        <v>0</v>
      </c>
      <c r="S215" s="113"/>
      <c r="T215" s="113"/>
    </row>
    <row r="216" spans="2:20" x14ac:dyDescent="0.25">
      <c r="B216" s="159"/>
      <c r="C216" s="160" t="s">
        <v>174</v>
      </c>
      <c r="D216" s="155"/>
      <c r="E216" s="155"/>
      <c r="F216" s="155"/>
      <c r="G216" s="155"/>
      <c r="H216" s="153" t="s">
        <v>106</v>
      </c>
      <c r="I216" s="269">
        <f>SUM(I215:XFD215)</f>
        <v>0</v>
      </c>
      <c r="J216" s="269"/>
      <c r="K216" s="269"/>
      <c r="L216" s="269"/>
      <c r="M216" s="269"/>
      <c r="N216" s="269"/>
      <c r="O216" s="269"/>
      <c r="P216" s="269"/>
      <c r="Q216" s="269"/>
      <c r="R216" s="269"/>
      <c r="S216" s="113"/>
      <c r="T216" s="113"/>
    </row>
    <row r="217" spans="2:20" ht="12.75" customHeight="1" x14ac:dyDescent="0.25">
      <c r="B217" s="159"/>
      <c r="C217" s="161" t="s">
        <v>161</v>
      </c>
      <c r="D217" s="154"/>
      <c r="E217" s="154"/>
      <c r="F217" s="154"/>
      <c r="G217" s="154"/>
      <c r="H217" s="151"/>
      <c r="I217" s="280">
        <f>(1/$H$16)*(1-(1/(1+$H$16))^$H$15)</f>
        <v>0</v>
      </c>
      <c r="J217" s="269"/>
      <c r="K217" s="269"/>
      <c r="L217" s="269"/>
      <c r="M217" s="269"/>
      <c r="N217" s="269"/>
      <c r="O217" s="269"/>
      <c r="P217" s="269"/>
      <c r="Q217" s="269"/>
      <c r="R217" s="269"/>
      <c r="S217" s="113"/>
      <c r="T217" s="113"/>
    </row>
    <row r="218" spans="2:20" ht="12.75" customHeight="1" x14ac:dyDescent="0.25">
      <c r="B218" s="159"/>
      <c r="C218" s="160" t="s">
        <v>175</v>
      </c>
      <c r="D218" s="155"/>
      <c r="E218" s="155"/>
      <c r="F218" s="155"/>
      <c r="G218" s="155"/>
      <c r="H218" s="153" t="s">
        <v>123</v>
      </c>
      <c r="I218" s="269">
        <f>I217*I216</f>
        <v>0</v>
      </c>
      <c r="J218" s="269"/>
      <c r="K218" s="269"/>
      <c r="L218" s="269"/>
      <c r="M218" s="269"/>
      <c r="N218" s="269"/>
      <c r="O218" s="269"/>
      <c r="P218" s="269"/>
      <c r="Q218" s="269"/>
      <c r="R218" s="269"/>
      <c r="S218" s="113"/>
      <c r="T218" s="113"/>
    </row>
    <row r="219" spans="2:20" ht="12.75" customHeight="1" x14ac:dyDescent="0.25">
      <c r="B219" s="159"/>
      <c r="C219" s="171"/>
      <c r="D219" s="171"/>
      <c r="E219" s="171"/>
      <c r="F219" s="171"/>
      <c r="G219" s="171"/>
      <c r="H219" s="169"/>
      <c r="I219" s="283"/>
      <c r="J219" s="283"/>
      <c r="K219" s="283"/>
      <c r="L219" s="283"/>
      <c r="M219" s="283"/>
      <c r="N219" s="283"/>
      <c r="O219" s="283"/>
      <c r="P219" s="283"/>
      <c r="Q219" s="283"/>
      <c r="R219" s="283"/>
      <c r="S219" s="113"/>
      <c r="T219" s="113"/>
    </row>
    <row r="220" spans="2:20" ht="12.75" customHeight="1" x14ac:dyDescent="0.25">
      <c r="B220" s="159"/>
      <c r="C220" s="172" t="s">
        <v>176</v>
      </c>
      <c r="D220" s="173"/>
      <c r="E220" s="173"/>
      <c r="F220" s="173"/>
      <c r="G220" s="173"/>
      <c r="H220" s="174"/>
      <c r="I220" s="284">
        <f>SUM(I186:I195)*$H$19</f>
        <v>0</v>
      </c>
      <c r="J220" s="284">
        <f>SUM(J186:J195)*$H$19</f>
        <v>0</v>
      </c>
      <c r="K220" s="284">
        <f t="shared" ref="K220:R220" si="51">SUM(K186:K195)*$H$19</f>
        <v>0</v>
      </c>
      <c r="L220" s="284">
        <f t="shared" si="51"/>
        <v>0</v>
      </c>
      <c r="M220" s="284">
        <f t="shared" si="51"/>
        <v>0</v>
      </c>
      <c r="N220" s="284">
        <f t="shared" si="51"/>
        <v>0</v>
      </c>
      <c r="O220" s="284">
        <f t="shared" si="51"/>
        <v>0</v>
      </c>
      <c r="P220" s="284">
        <f t="shared" si="51"/>
        <v>0</v>
      </c>
      <c r="Q220" s="284">
        <f t="shared" si="51"/>
        <v>0</v>
      </c>
      <c r="R220" s="284">
        <f t="shared" si="51"/>
        <v>0</v>
      </c>
      <c r="S220" s="113"/>
      <c r="T220" s="113"/>
    </row>
    <row r="221" spans="2:20" ht="12.75" customHeight="1" x14ac:dyDescent="0.25">
      <c r="B221" s="159"/>
      <c r="C221" s="176" t="s">
        <v>125</v>
      </c>
      <c r="D221" s="177"/>
      <c r="E221" s="177"/>
      <c r="F221" s="177"/>
      <c r="G221" s="177"/>
      <c r="H221" s="178" t="s">
        <v>177</v>
      </c>
      <c r="I221" s="286">
        <f>SUM(I222:I231)</f>
        <v>0</v>
      </c>
      <c r="J221" s="286">
        <f>SUM(J222:J231)</f>
        <v>0</v>
      </c>
      <c r="K221" s="286">
        <f t="shared" ref="K221:R221" si="52">SUM(K222:K231)</f>
        <v>0</v>
      </c>
      <c r="L221" s="286">
        <f t="shared" si="52"/>
        <v>0</v>
      </c>
      <c r="M221" s="286">
        <f t="shared" si="52"/>
        <v>0</v>
      </c>
      <c r="N221" s="286">
        <f t="shared" si="52"/>
        <v>0</v>
      </c>
      <c r="O221" s="286">
        <f t="shared" si="52"/>
        <v>0</v>
      </c>
      <c r="P221" s="286">
        <f t="shared" si="52"/>
        <v>0</v>
      </c>
      <c r="Q221" s="286">
        <f t="shared" si="52"/>
        <v>0</v>
      </c>
      <c r="R221" s="286">
        <f t="shared" si="52"/>
        <v>0</v>
      </c>
      <c r="S221" s="113"/>
      <c r="T221" s="113"/>
    </row>
    <row r="222" spans="2:20" ht="12.75" customHeight="1" x14ac:dyDescent="0.25">
      <c r="B222" s="159"/>
      <c r="C222" s="163" t="s">
        <v>178</v>
      </c>
      <c r="D222" s="162"/>
      <c r="E222" s="162"/>
      <c r="F222" s="162"/>
      <c r="G222" s="162"/>
      <c r="H222" s="159" t="s">
        <v>177</v>
      </c>
      <c r="I222" s="281">
        <f>(I32*I35*$H$20*I40/1000)/I29</f>
        <v>0</v>
      </c>
      <c r="J222" s="281">
        <f t="shared" ref="J222:R222" si="53">(J32*J35*$H$20*J40/1000)/J29</f>
        <v>0</v>
      </c>
      <c r="K222" s="281">
        <f>(K32*K35*$H$20*K40/1000)/K29</f>
        <v>0</v>
      </c>
      <c r="L222" s="281">
        <f t="shared" si="53"/>
        <v>0</v>
      </c>
      <c r="M222" s="281">
        <f t="shared" si="53"/>
        <v>0</v>
      </c>
      <c r="N222" s="281">
        <f t="shared" si="53"/>
        <v>0</v>
      </c>
      <c r="O222" s="281">
        <f t="shared" si="53"/>
        <v>0</v>
      </c>
      <c r="P222" s="281">
        <f t="shared" si="53"/>
        <v>0</v>
      </c>
      <c r="Q222" s="281">
        <f t="shared" si="53"/>
        <v>0</v>
      </c>
      <c r="R222" s="281">
        <f t="shared" si="53"/>
        <v>0</v>
      </c>
      <c r="S222" s="113"/>
      <c r="T222" s="113"/>
    </row>
    <row r="223" spans="2:20" ht="12.75" customHeight="1" x14ac:dyDescent="0.25">
      <c r="B223" s="159"/>
      <c r="C223" s="425" t="s">
        <v>179</v>
      </c>
      <c r="D223" s="424"/>
      <c r="E223" s="424"/>
      <c r="F223" s="424"/>
      <c r="G223" s="424"/>
      <c r="H223" s="149" t="s">
        <v>177</v>
      </c>
      <c r="I223" s="269">
        <f>(I44*I47*$H$20*I52/1000)/I29</f>
        <v>0</v>
      </c>
      <c r="J223" s="269">
        <f t="shared" ref="J223:R223" si="54">(J44*J47*$H$20*J52/1000)/J29</f>
        <v>0</v>
      </c>
      <c r="K223" s="269">
        <f t="shared" si="54"/>
        <v>0</v>
      </c>
      <c r="L223" s="269">
        <f t="shared" si="54"/>
        <v>0</v>
      </c>
      <c r="M223" s="269">
        <f t="shared" si="54"/>
        <v>0</v>
      </c>
      <c r="N223" s="269">
        <f t="shared" si="54"/>
        <v>0</v>
      </c>
      <c r="O223" s="269">
        <f t="shared" si="54"/>
        <v>0</v>
      </c>
      <c r="P223" s="269">
        <f t="shared" si="54"/>
        <v>0</v>
      </c>
      <c r="Q223" s="269">
        <f t="shared" si="54"/>
        <v>0</v>
      </c>
      <c r="R223" s="269">
        <f t="shared" si="54"/>
        <v>0</v>
      </c>
      <c r="S223" s="113"/>
      <c r="T223" s="113"/>
    </row>
    <row r="224" spans="2:20" ht="12.75" customHeight="1" x14ac:dyDescent="0.25">
      <c r="B224" s="159"/>
      <c r="C224" s="163" t="s">
        <v>180</v>
      </c>
      <c r="D224" s="162"/>
      <c r="E224" s="162"/>
      <c r="F224" s="162"/>
      <c r="G224" s="162"/>
      <c r="H224" s="159" t="s">
        <v>177</v>
      </c>
      <c r="I224" s="269">
        <f>(I56*I59*$H$20*I64/1000)/I29</f>
        <v>0</v>
      </c>
      <c r="J224" s="269">
        <f t="shared" ref="J224:R224" si="55">(J56*J59*$H$20*J64/1000)/J29</f>
        <v>0</v>
      </c>
      <c r="K224" s="269">
        <f t="shared" si="55"/>
        <v>0</v>
      </c>
      <c r="L224" s="269">
        <f t="shared" si="55"/>
        <v>0</v>
      </c>
      <c r="M224" s="269">
        <f t="shared" si="55"/>
        <v>0</v>
      </c>
      <c r="N224" s="269">
        <f t="shared" si="55"/>
        <v>0</v>
      </c>
      <c r="O224" s="269">
        <f t="shared" si="55"/>
        <v>0</v>
      </c>
      <c r="P224" s="269">
        <f t="shared" si="55"/>
        <v>0</v>
      </c>
      <c r="Q224" s="269">
        <f t="shared" si="55"/>
        <v>0</v>
      </c>
      <c r="R224" s="269">
        <f t="shared" si="55"/>
        <v>0</v>
      </c>
      <c r="S224" s="113"/>
      <c r="T224" s="113"/>
    </row>
    <row r="225" spans="2:20" ht="12.75" customHeight="1" x14ac:dyDescent="0.25">
      <c r="B225" s="159"/>
      <c r="C225" s="425" t="s">
        <v>181</v>
      </c>
      <c r="D225" s="424"/>
      <c r="E225" s="424"/>
      <c r="F225" s="424"/>
      <c r="G225" s="424"/>
      <c r="H225" s="149" t="s">
        <v>177</v>
      </c>
      <c r="I225" s="269">
        <f>(I68*I71*$H$20*I76/1000)/I29</f>
        <v>0</v>
      </c>
      <c r="J225" s="269">
        <f t="shared" ref="J225:R225" si="56">(J68*J71*$H$20*J76/1000)/J29</f>
        <v>0</v>
      </c>
      <c r="K225" s="269">
        <f t="shared" si="56"/>
        <v>0</v>
      </c>
      <c r="L225" s="269">
        <f t="shared" si="56"/>
        <v>0</v>
      </c>
      <c r="M225" s="269">
        <f t="shared" si="56"/>
        <v>0</v>
      </c>
      <c r="N225" s="269">
        <f t="shared" si="56"/>
        <v>0</v>
      </c>
      <c r="O225" s="269">
        <f t="shared" si="56"/>
        <v>0</v>
      </c>
      <c r="P225" s="269">
        <f t="shared" si="56"/>
        <v>0</v>
      </c>
      <c r="Q225" s="269">
        <f t="shared" si="56"/>
        <v>0</v>
      </c>
      <c r="R225" s="269">
        <f t="shared" si="56"/>
        <v>0</v>
      </c>
      <c r="S225" s="113"/>
      <c r="T225" s="113"/>
    </row>
    <row r="226" spans="2:20" ht="12.75" customHeight="1" x14ac:dyDescent="0.25">
      <c r="B226" s="159"/>
      <c r="C226" s="163" t="s">
        <v>182</v>
      </c>
      <c r="D226" s="162"/>
      <c r="E226" s="162"/>
      <c r="F226" s="162"/>
      <c r="G226" s="162"/>
      <c r="H226" s="159" t="s">
        <v>177</v>
      </c>
      <c r="I226" s="269">
        <f>(I80*I83*$H$20*I88/1000)/I29</f>
        <v>0</v>
      </c>
      <c r="J226" s="269">
        <f t="shared" ref="J226:R226" si="57">(J80*J83*$H$20*J88/1000)/J29</f>
        <v>0</v>
      </c>
      <c r="K226" s="269">
        <f t="shared" si="57"/>
        <v>0</v>
      </c>
      <c r="L226" s="269">
        <f t="shared" si="57"/>
        <v>0</v>
      </c>
      <c r="M226" s="269">
        <f t="shared" si="57"/>
        <v>0</v>
      </c>
      <c r="N226" s="269">
        <f t="shared" si="57"/>
        <v>0</v>
      </c>
      <c r="O226" s="269">
        <f t="shared" si="57"/>
        <v>0</v>
      </c>
      <c r="P226" s="269">
        <f t="shared" si="57"/>
        <v>0</v>
      </c>
      <c r="Q226" s="269">
        <f t="shared" si="57"/>
        <v>0</v>
      </c>
      <c r="R226" s="269">
        <f t="shared" si="57"/>
        <v>0</v>
      </c>
      <c r="S226" s="113"/>
      <c r="T226" s="113"/>
    </row>
    <row r="227" spans="2:20" ht="12.75" customHeight="1" x14ac:dyDescent="0.25">
      <c r="B227" s="159"/>
      <c r="C227" s="425" t="s">
        <v>183</v>
      </c>
      <c r="D227" s="424"/>
      <c r="E227" s="424"/>
      <c r="F227" s="424"/>
      <c r="G227" s="424"/>
      <c r="H227" s="149" t="s">
        <v>177</v>
      </c>
      <c r="I227" s="269">
        <f>(I92*I95*$H$20*I100/1000)/I29</f>
        <v>0</v>
      </c>
      <c r="J227" s="269">
        <f t="shared" ref="J227:R227" si="58">(J92*J95*$H$20*J100/1000)/J29</f>
        <v>0</v>
      </c>
      <c r="K227" s="269">
        <f t="shared" si="58"/>
        <v>0</v>
      </c>
      <c r="L227" s="269">
        <f t="shared" si="58"/>
        <v>0</v>
      </c>
      <c r="M227" s="269">
        <f t="shared" si="58"/>
        <v>0</v>
      </c>
      <c r="N227" s="269">
        <f t="shared" si="58"/>
        <v>0</v>
      </c>
      <c r="O227" s="269">
        <f t="shared" si="58"/>
        <v>0</v>
      </c>
      <c r="P227" s="269">
        <f t="shared" si="58"/>
        <v>0</v>
      </c>
      <c r="Q227" s="269">
        <f t="shared" si="58"/>
        <v>0</v>
      </c>
      <c r="R227" s="269">
        <f t="shared" si="58"/>
        <v>0</v>
      </c>
      <c r="S227" s="113"/>
      <c r="T227" s="113"/>
    </row>
    <row r="228" spans="2:20" ht="12.75" customHeight="1" x14ac:dyDescent="0.25">
      <c r="B228" s="159"/>
      <c r="C228" s="163" t="s">
        <v>184</v>
      </c>
      <c r="D228" s="162"/>
      <c r="E228" s="162"/>
      <c r="F228" s="162"/>
      <c r="G228" s="162"/>
      <c r="H228" s="159" t="s">
        <v>177</v>
      </c>
      <c r="I228" s="269">
        <f>(I104*I107*$H$20*I112/1000)/I29</f>
        <v>0</v>
      </c>
      <c r="J228" s="269">
        <f t="shared" ref="J228:R228" si="59">(J104*J107*$H$20*J112/1000)/J29</f>
        <v>0</v>
      </c>
      <c r="K228" s="269">
        <f t="shared" si="59"/>
        <v>0</v>
      </c>
      <c r="L228" s="269">
        <f t="shared" si="59"/>
        <v>0</v>
      </c>
      <c r="M228" s="269">
        <f t="shared" si="59"/>
        <v>0</v>
      </c>
      <c r="N228" s="269">
        <f t="shared" si="59"/>
        <v>0</v>
      </c>
      <c r="O228" s="269">
        <f t="shared" si="59"/>
        <v>0</v>
      </c>
      <c r="P228" s="269">
        <f t="shared" si="59"/>
        <v>0</v>
      </c>
      <c r="Q228" s="269">
        <f t="shared" si="59"/>
        <v>0</v>
      </c>
      <c r="R228" s="269">
        <f t="shared" si="59"/>
        <v>0</v>
      </c>
      <c r="S228" s="113"/>
      <c r="T228" s="113"/>
    </row>
    <row r="229" spans="2:20" ht="12.75" customHeight="1" x14ac:dyDescent="0.25">
      <c r="B229" s="159"/>
      <c r="C229" s="425" t="s">
        <v>185</v>
      </c>
      <c r="D229" s="424"/>
      <c r="E229" s="424"/>
      <c r="F229" s="424"/>
      <c r="G229" s="424"/>
      <c r="H229" s="149" t="s">
        <v>177</v>
      </c>
      <c r="I229" s="269">
        <f>(I116*I119*$H$20*I124/1000)/I29</f>
        <v>0</v>
      </c>
      <c r="J229" s="269">
        <f t="shared" ref="J229:R229" si="60">(J116*J119*$H$20*J124/1000)/J29</f>
        <v>0</v>
      </c>
      <c r="K229" s="269">
        <f t="shared" si="60"/>
        <v>0</v>
      </c>
      <c r="L229" s="269">
        <f t="shared" si="60"/>
        <v>0</v>
      </c>
      <c r="M229" s="269">
        <f t="shared" si="60"/>
        <v>0</v>
      </c>
      <c r="N229" s="269">
        <f t="shared" si="60"/>
        <v>0</v>
      </c>
      <c r="O229" s="269">
        <f t="shared" si="60"/>
        <v>0</v>
      </c>
      <c r="P229" s="269">
        <f t="shared" si="60"/>
        <v>0</v>
      </c>
      <c r="Q229" s="269">
        <f t="shared" si="60"/>
        <v>0</v>
      </c>
      <c r="R229" s="269">
        <f t="shared" si="60"/>
        <v>0</v>
      </c>
      <c r="S229" s="113"/>
      <c r="T229" s="113"/>
    </row>
    <row r="230" spans="2:20" ht="12.75" customHeight="1" x14ac:dyDescent="0.25">
      <c r="B230" s="159"/>
      <c r="C230" s="163" t="s">
        <v>186</v>
      </c>
      <c r="D230" s="162"/>
      <c r="E230" s="162"/>
      <c r="F230" s="162"/>
      <c r="G230" s="162"/>
      <c r="H230" s="159" t="s">
        <v>177</v>
      </c>
      <c r="I230" s="269">
        <f>(I128*I131*$H$20*I136/1000)/I29</f>
        <v>0</v>
      </c>
      <c r="J230" s="269">
        <f t="shared" ref="J230:R230" si="61">(J128*J131*$H$20*J136/1000)/J29</f>
        <v>0</v>
      </c>
      <c r="K230" s="269">
        <f t="shared" si="61"/>
        <v>0</v>
      </c>
      <c r="L230" s="269">
        <f t="shared" si="61"/>
        <v>0</v>
      </c>
      <c r="M230" s="269">
        <f t="shared" si="61"/>
        <v>0</v>
      </c>
      <c r="N230" s="269">
        <f t="shared" si="61"/>
        <v>0</v>
      </c>
      <c r="O230" s="269">
        <f t="shared" si="61"/>
        <v>0</v>
      </c>
      <c r="P230" s="269">
        <f t="shared" si="61"/>
        <v>0</v>
      </c>
      <c r="Q230" s="269">
        <f t="shared" si="61"/>
        <v>0</v>
      </c>
      <c r="R230" s="269">
        <f t="shared" si="61"/>
        <v>0</v>
      </c>
      <c r="S230" s="113"/>
      <c r="T230" s="113"/>
    </row>
    <row r="231" spans="2:20" ht="12.75" customHeight="1" x14ac:dyDescent="0.25">
      <c r="B231" s="159"/>
      <c r="C231" s="425" t="s">
        <v>187</v>
      </c>
      <c r="D231" s="424"/>
      <c r="E231" s="424"/>
      <c r="F231" s="424"/>
      <c r="G231" s="424"/>
      <c r="H231" s="149" t="s">
        <v>177</v>
      </c>
      <c r="I231" s="269">
        <f>(I140*I143*$H$20*I148/1000)/I29</f>
        <v>0</v>
      </c>
      <c r="J231" s="269">
        <f t="shared" ref="J231:R231" si="62">(J140*J143*$H$20*J148/1000)/J29</f>
        <v>0</v>
      </c>
      <c r="K231" s="269">
        <f t="shared" si="62"/>
        <v>0</v>
      </c>
      <c r="L231" s="269">
        <f t="shared" si="62"/>
        <v>0</v>
      </c>
      <c r="M231" s="269">
        <f t="shared" si="62"/>
        <v>0</v>
      </c>
      <c r="N231" s="269">
        <f t="shared" si="62"/>
        <v>0</v>
      </c>
      <c r="O231" s="269">
        <f t="shared" si="62"/>
        <v>0</v>
      </c>
      <c r="P231" s="269">
        <f t="shared" si="62"/>
        <v>0</v>
      </c>
      <c r="Q231" s="269">
        <f t="shared" si="62"/>
        <v>0</v>
      </c>
      <c r="R231" s="269">
        <f t="shared" si="62"/>
        <v>0</v>
      </c>
      <c r="S231" s="113"/>
      <c r="T231" s="113"/>
    </row>
    <row r="232" spans="2:20" ht="13.35" customHeight="1" x14ac:dyDescent="0.2">
      <c r="B232" s="271"/>
      <c r="C232" s="450" t="s">
        <v>188</v>
      </c>
      <c r="D232" s="450"/>
      <c r="E232" s="450"/>
      <c r="F232" s="450"/>
      <c r="G232" s="450"/>
      <c r="H232" s="271" t="s">
        <v>123</v>
      </c>
      <c r="I232" s="273">
        <f>I218+I202</f>
        <v>0</v>
      </c>
      <c r="J232" s="273"/>
      <c r="K232" s="273"/>
      <c r="L232" s="273"/>
      <c r="M232" s="273"/>
      <c r="N232" s="273"/>
      <c r="O232" s="273"/>
      <c r="P232" s="273"/>
      <c r="Q232" s="273"/>
      <c r="R232" s="273"/>
      <c r="S232" s="273"/>
      <c r="T232" s="273"/>
    </row>
    <row r="233" spans="2:20" ht="29.25" customHeight="1" x14ac:dyDescent="0.2">
      <c r="B233" s="179"/>
      <c r="C233" s="180" t="s">
        <v>189</v>
      </c>
      <c r="D233" s="180"/>
      <c r="E233" s="180"/>
      <c r="F233" s="180"/>
      <c r="G233" s="180"/>
      <c r="H233" s="180" t="s">
        <v>123</v>
      </c>
      <c r="I233" s="232">
        <f>I232+I181</f>
        <v>0</v>
      </c>
      <c r="J233" s="232"/>
      <c r="K233" s="232"/>
      <c r="L233" s="232"/>
      <c r="M233" s="232"/>
      <c r="N233" s="232"/>
      <c r="O233" s="232"/>
      <c r="P233" s="232"/>
      <c r="Q233" s="232"/>
      <c r="R233" s="232"/>
      <c r="S233" s="232"/>
      <c r="T233" s="232"/>
    </row>
    <row r="234" spans="2:20" x14ac:dyDescent="0.25">
      <c r="C234" s="233"/>
      <c r="D234" s="233"/>
      <c r="E234" s="234"/>
      <c r="F234" s="234"/>
      <c r="G234" s="234"/>
      <c r="H234" s="234"/>
      <c r="I234" s="233"/>
      <c r="J234" s="235"/>
      <c r="K234" s="236"/>
    </row>
    <row r="235" spans="2:20" x14ac:dyDescent="0.25">
      <c r="F235" s="238"/>
      <c r="G235" s="238"/>
      <c r="H235" s="238"/>
      <c r="I235" s="239"/>
      <c r="J235" s="235"/>
      <c r="K235" s="236"/>
    </row>
    <row r="236" spans="2:20" hidden="1" x14ac:dyDescent="0.25"/>
    <row r="237" spans="2:20" hidden="1" x14ac:dyDescent="0.25">
      <c r="I237" s="237" t="s">
        <v>95</v>
      </c>
    </row>
    <row r="238" spans="2:20" hidden="1" x14ac:dyDescent="0.25">
      <c r="I238" s="237" t="s">
        <v>190</v>
      </c>
    </row>
    <row r="239" spans="2:20" hidden="1" x14ac:dyDescent="0.25">
      <c r="I239" s="237" t="s">
        <v>191</v>
      </c>
    </row>
    <row r="240" spans="2:20" hidden="1" x14ac:dyDescent="0.25">
      <c r="I240" s="237" t="s">
        <v>192</v>
      </c>
    </row>
    <row r="243" spans="9:13" x14ac:dyDescent="0.25">
      <c r="I243" s="237"/>
      <c r="J243" s="237"/>
      <c r="L243" s="237"/>
      <c r="M243" s="237"/>
    </row>
  </sheetData>
  <sheetProtection algorithmName="SHA-512" hashValue="g+78OuQp+wQGLDelakSMGW9yZu8o6Tv7KZ+R8zSG8QxW7mAIFi3Dj3vuVOyn949UZG6gly1sy5jbsgPvVRfv0A==" saltValue="8aVUD9UTARSQAEO16Qfv/Q==" spinCount="100000" sheet="1" objects="1" scenarios="1"/>
  <mergeCells count="63">
    <mergeCell ref="C11:E11"/>
    <mergeCell ref="F11:I11"/>
    <mergeCell ref="C6:D6"/>
    <mergeCell ref="E6:G6"/>
    <mergeCell ref="H6:I6"/>
    <mergeCell ref="C9:H9"/>
    <mergeCell ref="C10:H10"/>
    <mergeCell ref="C21:G21"/>
    <mergeCell ref="C12:E12"/>
    <mergeCell ref="F12:I12"/>
    <mergeCell ref="C13:E13"/>
    <mergeCell ref="F13:I13"/>
    <mergeCell ref="C14:H14"/>
    <mergeCell ref="C15:G15"/>
    <mergeCell ref="C16:G16"/>
    <mergeCell ref="C17:G17"/>
    <mergeCell ref="C18:G18"/>
    <mergeCell ref="C19:G19"/>
    <mergeCell ref="C20:G20"/>
    <mergeCell ref="C172:G172"/>
    <mergeCell ref="C24:H24"/>
    <mergeCell ref="C154:D154"/>
    <mergeCell ref="C156:G156"/>
    <mergeCell ref="C160:G160"/>
    <mergeCell ref="C163:G163"/>
    <mergeCell ref="C165:G165"/>
    <mergeCell ref="C167:G167"/>
    <mergeCell ref="C168:G168"/>
    <mergeCell ref="C169:G169"/>
    <mergeCell ref="C170:G170"/>
    <mergeCell ref="C171:G171"/>
    <mergeCell ref="C186:G186"/>
    <mergeCell ref="C173:G173"/>
    <mergeCell ref="C174:G174"/>
    <mergeCell ref="C175:G175"/>
    <mergeCell ref="C176:G176"/>
    <mergeCell ref="C177:G177"/>
    <mergeCell ref="C178:G178"/>
    <mergeCell ref="C179:G179"/>
    <mergeCell ref="C181:G181"/>
    <mergeCell ref="C182:G182"/>
    <mergeCell ref="C183:G183"/>
    <mergeCell ref="C185:G185"/>
    <mergeCell ref="C210:G210"/>
    <mergeCell ref="C187:G187"/>
    <mergeCell ref="C188:G188"/>
    <mergeCell ref="C189:G189"/>
    <mergeCell ref="C190:G190"/>
    <mergeCell ref="C191:G191"/>
    <mergeCell ref="C192:G192"/>
    <mergeCell ref="C193:G193"/>
    <mergeCell ref="C194:G194"/>
    <mergeCell ref="C195:G195"/>
    <mergeCell ref="C206:G206"/>
    <mergeCell ref="C208:G208"/>
    <mergeCell ref="C231:G231"/>
    <mergeCell ref="C232:G232"/>
    <mergeCell ref="C212:G212"/>
    <mergeCell ref="C214:G214"/>
    <mergeCell ref="C223:G223"/>
    <mergeCell ref="C225:G225"/>
    <mergeCell ref="C227:G227"/>
    <mergeCell ref="C229:G229"/>
  </mergeCells>
  <phoneticPr fontId="77" type="noConversion"/>
  <dataValidations count="4">
    <dataValidation type="list" allowBlank="1" showInputMessage="1" showErrorMessage="1" sqref="I36:R36 I144:R144 I120:R120 I96:R96 I60:R60 I132:R132 I48:R48 I84:R84 I72:R72 I108:R108" xr:uid="{600A40BE-4607-4806-ABBE-86CDFC971810}">
      <formula1>$I$237:$I$240</formula1>
    </dataValidation>
    <dataValidation allowBlank="1" showInputMessage="1" showErrorMessage="1" prompt="Markera cell till vänster för att välja pris i dropdown-menyn" sqref="G17" xr:uid="{45CB8892-8BF9-4043-8BD4-606623F023BC}"/>
    <dataValidation type="list" allowBlank="1" showInputMessage="1" showErrorMessage="1" sqref="I27:R27" xr:uid="{87A185E3-0E01-4719-B42F-99909640B167}">
      <formula1>INDIRECT(I$26)</formula1>
    </dataValidation>
    <dataValidation type="list" allowBlank="1" showInputMessage="1" showErrorMessage="1" promptTitle="Byggnadstyp" prompt="Välj ett från listan eller skriv in eget i raden under." sqref="L17" xr:uid="{3A46CEAD-90B0-4149-A1DC-C02A325D46F4}">
      <formula1>$K$10:$K$14</formula1>
    </dataValidation>
  </dataValidations>
  <pageMargins left="0.75" right="0.75" top="1" bottom="1" header="0.5" footer="0.5"/>
  <pageSetup paperSize="9" scale="35" orientation="portrait" horizontalDpi="1200" verticalDpi="1200"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BA0FCFE-9F25-4544-88E6-58CEF82AF85C}">
          <x14:formula1>
            <xm:f>'4. Reduktionsfaktorer, LENI-tal'!$Q$12:$T$12</xm:f>
          </x14:formula1>
          <xm:sqref>I25:R25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CED3-B342-4651-8335-D518E5737CA5}">
  <sheetPr>
    <tabColor rgb="FF6B2879"/>
  </sheetPr>
  <dimension ref="A1:T243"/>
  <sheetViews>
    <sheetView topLeftCell="B1" zoomScale="60" zoomScaleNormal="60" workbookViewId="0">
      <selection activeCell="K19" sqref="K19"/>
    </sheetView>
  </sheetViews>
  <sheetFormatPr defaultColWidth="9.140625" defaultRowHeight="15.75" x14ac:dyDescent="0.25"/>
  <cols>
    <col min="1" max="1" width="15.140625" style="189" customWidth="1"/>
    <col min="2" max="2" width="12.42578125" style="189" customWidth="1"/>
    <col min="3" max="3" width="10.42578125" style="189" customWidth="1"/>
    <col min="4" max="4" width="8.42578125" style="189" customWidth="1"/>
    <col min="5" max="5" width="8.140625" style="237" customWidth="1"/>
    <col min="6" max="6" width="10" style="237" customWidth="1"/>
    <col min="7" max="7" width="16.5703125" style="237" customWidth="1"/>
    <col min="8" max="8" width="8.85546875" style="237" customWidth="1"/>
    <col min="9" max="10" width="20.5703125" style="189" customWidth="1"/>
    <col min="11" max="11" width="20.5703125" style="240" customWidth="1"/>
    <col min="12" max="18" width="20.5703125" style="189" customWidth="1"/>
    <col min="19" max="16384" width="9.140625" style="189"/>
  </cols>
  <sheetData>
    <row r="1" spans="1:20" s="184" customFormat="1" ht="12.75" x14ac:dyDescent="0.2">
      <c r="A1" s="339" t="s">
        <v>0</v>
      </c>
    </row>
    <row r="2" spans="1:20" s="184" customFormat="1" ht="33.75" x14ac:dyDescent="0.5">
      <c r="G2" s="1" t="s">
        <v>1</v>
      </c>
    </row>
    <row r="3" spans="1:20" s="184" customFormat="1" ht="12.75" x14ac:dyDescent="0.2">
      <c r="G3" s="28" t="str">
        <f>'1. Introduktion'!G3</f>
        <v>Version 3.0</v>
      </c>
      <c r="H3" s="13"/>
      <c r="I3" s="13"/>
    </row>
    <row r="4" spans="1:20" s="184" customFormat="1" ht="12.75" x14ac:dyDescent="0.2">
      <c r="G4" s="28" t="str">
        <f>'1. Introduktion'!G4</f>
        <v>Datum: 2024-12-17</v>
      </c>
      <c r="H4" s="13"/>
      <c r="I4" s="28"/>
      <c r="K4" s="241"/>
    </row>
    <row r="5" spans="1:20" s="184" customFormat="1" ht="12.75" x14ac:dyDescent="0.2"/>
    <row r="6" spans="1:20" s="3" customFormat="1" ht="21" x14ac:dyDescent="0.35">
      <c r="C6" s="428"/>
      <c r="D6" s="428"/>
      <c r="E6" s="428"/>
      <c r="F6" s="428"/>
      <c r="G6" s="428"/>
      <c r="H6" s="429"/>
      <c r="I6" s="429"/>
      <c r="J6" s="9"/>
      <c r="K6" s="10"/>
      <c r="L6" s="10"/>
      <c r="M6" s="10"/>
      <c r="N6" s="10"/>
      <c r="O6" s="10"/>
      <c r="P6" s="10"/>
      <c r="Q6" s="10"/>
      <c r="R6" s="10"/>
    </row>
    <row r="7" spans="1:20" s="186" customFormat="1" ht="21" x14ac:dyDescent="0.35">
      <c r="C7" s="4"/>
      <c r="D7" s="4"/>
      <c r="E7" s="4"/>
      <c r="F7" s="4"/>
      <c r="G7" s="4"/>
      <c r="H7" s="187"/>
      <c r="I7" s="187"/>
      <c r="J7" s="4"/>
      <c r="K7" s="4"/>
      <c r="L7" s="4"/>
      <c r="M7" s="4"/>
      <c r="N7" s="4"/>
      <c r="O7" s="4"/>
      <c r="P7" s="4"/>
      <c r="Q7" s="4"/>
      <c r="R7" s="4"/>
    </row>
    <row r="8" spans="1:20" s="186" customFormat="1" ht="21" x14ac:dyDescent="0.35">
      <c r="B8" s="287"/>
      <c r="C8" s="93" t="s">
        <v>194</v>
      </c>
      <c r="D8" s="94"/>
      <c r="E8" s="94"/>
      <c r="F8" s="94"/>
      <c r="G8" s="94"/>
      <c r="H8" s="288"/>
      <c r="I8" s="288"/>
      <c r="J8" s="94"/>
      <c r="K8" s="94"/>
      <c r="L8" s="94"/>
      <c r="M8" s="94"/>
      <c r="N8" s="94"/>
      <c r="O8" s="94"/>
      <c r="P8" s="94"/>
      <c r="Q8" s="94"/>
      <c r="R8" s="94"/>
      <c r="S8" s="94"/>
      <c r="T8" s="94"/>
    </row>
    <row r="9" spans="1:20" ht="12.75" x14ac:dyDescent="0.2">
      <c r="B9" s="138"/>
      <c r="C9" s="431"/>
      <c r="D9" s="431"/>
      <c r="E9" s="431"/>
      <c r="F9" s="431"/>
      <c r="G9" s="431"/>
      <c r="H9" s="431"/>
      <c r="I9" s="188"/>
      <c r="J9" s="138"/>
      <c r="K9" s="404"/>
      <c r="L9" s="404"/>
      <c r="M9" s="138"/>
      <c r="N9" s="138"/>
      <c r="O9" s="138"/>
      <c r="P9" s="138"/>
      <c r="Q9" s="138"/>
      <c r="R9" s="138"/>
      <c r="S9" s="138"/>
      <c r="T9" s="138"/>
    </row>
    <row r="10" spans="1:20" ht="21" x14ac:dyDescent="0.35">
      <c r="B10" s="138"/>
      <c r="C10" s="437" t="s">
        <v>22</v>
      </c>
      <c r="D10" s="437"/>
      <c r="E10" s="437"/>
      <c r="F10" s="437"/>
      <c r="G10" s="437"/>
      <c r="H10" s="437"/>
      <c r="I10" s="181"/>
      <c r="J10" s="138"/>
      <c r="K10" s="405" t="s">
        <v>23</v>
      </c>
      <c r="L10" s="406">
        <v>0</v>
      </c>
      <c r="M10" s="138"/>
      <c r="N10" s="138"/>
      <c r="O10" s="138"/>
      <c r="P10" s="138"/>
      <c r="Q10" s="138"/>
      <c r="R10" s="138"/>
      <c r="S10" s="138"/>
      <c r="T10" s="138"/>
    </row>
    <row r="11" spans="1:20" s="190" customFormat="1" x14ac:dyDescent="0.25">
      <c r="B11" s="138"/>
      <c r="C11" s="433" t="s">
        <v>24</v>
      </c>
      <c r="D11" s="433"/>
      <c r="E11" s="433"/>
      <c r="F11" s="434" t="s">
        <v>25</v>
      </c>
      <c r="G11" s="434"/>
      <c r="H11" s="434"/>
      <c r="I11" s="434"/>
      <c r="J11" s="138"/>
      <c r="K11" s="405" t="s">
        <v>26</v>
      </c>
      <c r="L11" s="406">
        <v>2500</v>
      </c>
      <c r="M11" s="138"/>
      <c r="N11" s="138"/>
      <c r="O11" s="138"/>
      <c r="P11" s="138"/>
      <c r="Q11" s="138"/>
      <c r="R11" s="138"/>
      <c r="S11" s="138"/>
      <c r="T11" s="138"/>
    </row>
    <row r="12" spans="1:20" s="190" customFormat="1" x14ac:dyDescent="0.25">
      <c r="B12" s="138"/>
      <c r="C12" s="433" t="s">
        <v>27</v>
      </c>
      <c r="D12" s="433"/>
      <c r="E12" s="433"/>
      <c r="F12" s="435" t="s">
        <v>28</v>
      </c>
      <c r="G12" s="435"/>
      <c r="H12" s="435"/>
      <c r="I12" s="435"/>
      <c r="J12" s="138"/>
      <c r="K12" s="405" t="s">
        <v>29</v>
      </c>
      <c r="L12" s="406">
        <v>2000</v>
      </c>
      <c r="M12" s="138"/>
      <c r="N12" s="138"/>
      <c r="O12" s="138"/>
      <c r="P12" s="138"/>
      <c r="Q12" s="138"/>
      <c r="R12" s="138"/>
      <c r="S12" s="138"/>
      <c r="T12" s="138"/>
    </row>
    <row r="13" spans="1:20" s="190" customFormat="1" x14ac:dyDescent="0.25">
      <c r="B13" s="138"/>
      <c r="C13" s="433" t="s">
        <v>30</v>
      </c>
      <c r="D13" s="433"/>
      <c r="E13" s="433"/>
      <c r="F13" s="434" t="s">
        <v>31</v>
      </c>
      <c r="G13" s="434"/>
      <c r="H13" s="434"/>
      <c r="I13" s="434"/>
      <c r="J13" s="138"/>
      <c r="K13" s="405" t="s">
        <v>32</v>
      </c>
      <c r="L13" s="406">
        <v>4000</v>
      </c>
      <c r="M13" s="138"/>
      <c r="N13" s="138"/>
      <c r="O13" s="138"/>
      <c r="P13" s="138"/>
      <c r="Q13" s="138"/>
      <c r="R13" s="138"/>
      <c r="S13" s="138"/>
      <c r="T13" s="138"/>
    </row>
    <row r="14" spans="1:20" ht="15" x14ac:dyDescent="0.25">
      <c r="B14" s="138"/>
      <c r="C14" s="432"/>
      <c r="D14" s="432"/>
      <c r="E14" s="432"/>
      <c r="F14" s="432"/>
      <c r="G14" s="432"/>
      <c r="H14" s="432"/>
      <c r="I14" s="188"/>
      <c r="J14" s="138"/>
      <c r="K14" s="405" t="s">
        <v>33</v>
      </c>
      <c r="L14" s="406">
        <v>5000</v>
      </c>
      <c r="M14" s="138"/>
      <c r="N14" s="138"/>
      <c r="O14" s="138"/>
      <c r="P14" s="138"/>
      <c r="Q14" s="138"/>
      <c r="R14" s="138"/>
      <c r="S14" s="138"/>
      <c r="T14" s="138"/>
    </row>
    <row r="15" spans="1:20" s="190" customFormat="1" x14ac:dyDescent="0.25">
      <c r="B15" s="116" t="s">
        <v>34</v>
      </c>
      <c r="C15" s="436" t="s">
        <v>35</v>
      </c>
      <c r="D15" s="436"/>
      <c r="E15" s="436"/>
      <c r="F15" s="436"/>
      <c r="G15" s="436"/>
      <c r="H15" s="7"/>
      <c r="I15" s="191" t="s">
        <v>36</v>
      </c>
      <c r="J15" s="138"/>
      <c r="K15" s="397"/>
      <c r="L15" s="397"/>
      <c r="M15" s="138"/>
      <c r="N15" s="138"/>
      <c r="O15" s="138"/>
      <c r="P15" s="138"/>
      <c r="Q15" s="138"/>
      <c r="R15" s="138"/>
      <c r="S15" s="138"/>
      <c r="T15" s="138"/>
    </row>
    <row r="16" spans="1:20" s="190" customFormat="1" x14ac:dyDescent="0.25">
      <c r="B16" s="116" t="s">
        <v>37</v>
      </c>
      <c r="C16" s="436" t="s">
        <v>38</v>
      </c>
      <c r="D16" s="436"/>
      <c r="E16" s="436"/>
      <c r="F16" s="436"/>
      <c r="G16" s="436"/>
      <c r="H16" s="60">
        <v>0.05</v>
      </c>
      <c r="I16" s="192"/>
      <c r="J16" s="138"/>
      <c r="K16" s="398" t="s">
        <v>39</v>
      </c>
      <c r="L16" s="397"/>
      <c r="M16" s="138"/>
      <c r="N16" s="138"/>
      <c r="O16" s="138"/>
      <c r="P16" s="138"/>
      <c r="Q16" s="138"/>
      <c r="R16" s="138"/>
      <c r="S16" s="138"/>
      <c r="T16" s="138"/>
    </row>
    <row r="17" spans="2:20" s="190" customFormat="1" x14ac:dyDescent="0.25">
      <c r="B17" s="116" t="s">
        <v>40</v>
      </c>
      <c r="C17" s="436" t="s">
        <v>41</v>
      </c>
      <c r="D17" s="436"/>
      <c r="E17" s="436"/>
      <c r="F17" s="436"/>
      <c r="G17" s="436"/>
      <c r="H17" s="11"/>
      <c r="I17" s="191" t="s">
        <v>42</v>
      </c>
      <c r="J17" s="138"/>
      <c r="K17" s="399" t="s">
        <v>23</v>
      </c>
      <c r="L17" s="400" t="s">
        <v>23</v>
      </c>
      <c r="M17" s="138"/>
      <c r="N17" s="138"/>
      <c r="O17" s="138"/>
      <c r="P17" s="138"/>
      <c r="Q17" s="138"/>
      <c r="R17" s="138"/>
      <c r="S17" s="138"/>
      <c r="T17" s="138"/>
    </row>
    <row r="18" spans="2:20" s="190" customFormat="1" x14ac:dyDescent="0.25">
      <c r="B18" s="116" t="s">
        <v>43</v>
      </c>
      <c r="C18" s="436" t="s">
        <v>44</v>
      </c>
      <c r="D18" s="436"/>
      <c r="E18" s="436"/>
      <c r="F18" s="436"/>
      <c r="G18" s="436"/>
      <c r="H18" s="8"/>
      <c r="I18" s="192"/>
      <c r="J18" s="138"/>
      <c r="K18" s="401" t="s">
        <v>45</v>
      </c>
      <c r="L18" s="400"/>
      <c r="M18" s="138"/>
      <c r="N18" s="138"/>
      <c r="O18" s="138"/>
      <c r="P18" s="138"/>
      <c r="Q18" s="138"/>
      <c r="R18" s="138"/>
      <c r="S18" s="138"/>
      <c r="T18" s="138"/>
    </row>
    <row r="19" spans="2:20" s="190" customFormat="1" x14ac:dyDescent="0.25">
      <c r="B19" s="116" t="s">
        <v>46</v>
      </c>
      <c r="C19" s="436" t="s">
        <v>47</v>
      </c>
      <c r="D19" s="436"/>
      <c r="E19" s="436"/>
      <c r="F19" s="436"/>
      <c r="G19" s="436"/>
      <c r="H19" s="11"/>
      <c r="I19" s="193" t="s">
        <v>48</v>
      </c>
      <c r="J19" s="138"/>
      <c r="K19" s="402" t="s">
        <v>49</v>
      </c>
      <c r="L19" s="403">
        <f>IF(ISBLANK($L$18),VLOOKUP($L$17,$K$10:$L$14,2),$L$18)</f>
        <v>0</v>
      </c>
      <c r="M19" s="138"/>
      <c r="N19" s="138"/>
      <c r="O19" s="138"/>
      <c r="P19" s="138"/>
      <c r="Q19" s="138"/>
      <c r="R19" s="138"/>
      <c r="S19" s="138"/>
      <c r="T19" s="138"/>
    </row>
    <row r="20" spans="2:20" s="190" customFormat="1" x14ac:dyDescent="0.25">
      <c r="B20" s="116" t="s">
        <v>50</v>
      </c>
      <c r="C20" s="436" t="s">
        <v>51</v>
      </c>
      <c r="D20" s="436"/>
      <c r="E20" s="436"/>
      <c r="F20" s="436"/>
      <c r="G20" s="436"/>
      <c r="H20" s="408">
        <f>$L$19</f>
        <v>0</v>
      </c>
      <c r="I20" s="193" t="s">
        <v>52</v>
      </c>
      <c r="J20" s="138"/>
      <c r="K20" s="113"/>
      <c r="L20" s="113"/>
      <c r="M20" s="138"/>
      <c r="N20" s="138"/>
      <c r="O20" s="138"/>
      <c r="P20" s="138"/>
      <c r="Q20" s="138"/>
      <c r="R20" s="138"/>
      <c r="S20" s="138"/>
      <c r="T20" s="138"/>
    </row>
    <row r="21" spans="2:20" s="190" customFormat="1" x14ac:dyDescent="0.25">
      <c r="B21" s="138"/>
      <c r="C21" s="430"/>
      <c r="D21" s="430"/>
      <c r="E21" s="430"/>
      <c r="F21" s="430"/>
      <c r="G21" s="430"/>
      <c r="H21" s="153"/>
      <c r="I21" s="194"/>
      <c r="J21" s="138"/>
      <c r="K21" s="138"/>
      <c r="L21" s="138"/>
      <c r="M21" s="138"/>
      <c r="N21" s="138"/>
      <c r="O21" s="138"/>
      <c r="P21" s="138"/>
      <c r="Q21" s="138"/>
      <c r="R21" s="138"/>
      <c r="S21" s="138"/>
      <c r="T21" s="138"/>
    </row>
    <row r="22" spans="2:20" s="190" customFormat="1" ht="21" x14ac:dyDescent="0.35">
      <c r="B22" s="289"/>
      <c r="C22" s="290" t="s">
        <v>53</v>
      </c>
      <c r="D22" s="291"/>
      <c r="E22" s="291"/>
      <c r="F22" s="291"/>
      <c r="G22" s="289"/>
      <c r="H22" s="289"/>
      <c r="I22" s="289"/>
      <c r="J22" s="289"/>
      <c r="K22" s="289"/>
      <c r="L22" s="289"/>
      <c r="M22" s="289"/>
      <c r="N22" s="289"/>
      <c r="O22" s="289"/>
      <c r="P22" s="289"/>
      <c r="Q22" s="289"/>
      <c r="R22" s="289"/>
      <c r="S22" s="289"/>
      <c r="T22" s="289"/>
    </row>
    <row r="23" spans="2:20" s="190" customFormat="1" ht="21" x14ac:dyDescent="0.25">
      <c r="B23" s="113"/>
      <c r="C23" s="114"/>
      <c r="D23" s="113"/>
      <c r="E23" s="113"/>
      <c r="F23" s="113"/>
      <c r="G23" s="113"/>
      <c r="H23" s="113"/>
      <c r="I23" s="113"/>
      <c r="J23" s="113"/>
      <c r="K23" s="113"/>
      <c r="L23" s="113"/>
      <c r="M23" s="113"/>
      <c r="N23" s="113"/>
      <c r="O23" s="113"/>
      <c r="P23" s="113"/>
      <c r="Q23" s="113"/>
      <c r="R23" s="113"/>
      <c r="S23" s="113"/>
      <c r="T23" s="113"/>
    </row>
    <row r="24" spans="2:20" s="190" customFormat="1" x14ac:dyDescent="0.25">
      <c r="B24" s="113"/>
      <c r="C24" s="438" t="s">
        <v>54</v>
      </c>
      <c r="D24" s="438"/>
      <c r="E24" s="438"/>
      <c r="F24" s="438"/>
      <c r="G24" s="438"/>
      <c r="H24" s="438"/>
      <c r="I24" s="113"/>
      <c r="J24" s="113"/>
      <c r="K24" s="113"/>
      <c r="L24" s="113"/>
      <c r="M24" s="113"/>
      <c r="N24" s="113"/>
      <c r="O24" s="113"/>
      <c r="P24" s="113"/>
      <c r="Q24" s="113"/>
      <c r="R24" s="113"/>
      <c r="S24" s="113"/>
      <c r="T24" s="113"/>
    </row>
    <row r="25" spans="2:20" s="190" customFormat="1" x14ac:dyDescent="0.25">
      <c r="B25" s="116"/>
      <c r="C25" s="117" t="s">
        <v>23</v>
      </c>
      <c r="D25" s="118"/>
      <c r="E25" s="118"/>
      <c r="F25" s="118"/>
      <c r="G25" s="119"/>
      <c r="H25" s="119"/>
      <c r="I25" s="242" t="s">
        <v>55</v>
      </c>
      <c r="J25" s="242" t="s">
        <v>56</v>
      </c>
      <c r="K25" s="242" t="s">
        <v>57</v>
      </c>
      <c r="L25" s="242" t="s">
        <v>58</v>
      </c>
      <c r="M25" s="242" t="s">
        <v>59</v>
      </c>
      <c r="N25" s="242" t="s">
        <v>60</v>
      </c>
      <c r="O25" s="242" t="s">
        <v>61</v>
      </c>
      <c r="P25" s="242" t="s">
        <v>62</v>
      </c>
      <c r="Q25" s="242" t="s">
        <v>63</v>
      </c>
      <c r="R25" s="242" t="s">
        <v>64</v>
      </c>
      <c r="S25" s="113"/>
      <c r="T25" s="113"/>
    </row>
    <row r="26" spans="2:20" s="190" customFormat="1" x14ac:dyDescent="0.25">
      <c r="B26" s="116"/>
      <c r="C26" s="117" t="s">
        <v>65</v>
      </c>
      <c r="D26" s="118"/>
      <c r="E26" s="118"/>
      <c r="F26" s="118"/>
      <c r="G26" s="119"/>
      <c r="H26" s="119"/>
      <c r="I26" s="71" t="str">
        <f>SUBSTITUTE(I25," ","_")</f>
        <v>Byggnadstyp_1</v>
      </c>
      <c r="J26" s="71" t="str">
        <f t="shared" ref="J26:R26" si="0">SUBSTITUTE(J25," ","_")</f>
        <v>Byggnadstyp_2</v>
      </c>
      <c r="K26" s="71" t="str">
        <f t="shared" si="0"/>
        <v>Byggnadstyp_3</v>
      </c>
      <c r="L26" s="71" t="str">
        <f t="shared" si="0"/>
        <v>Byggnadstyp_4</v>
      </c>
      <c r="M26" s="71" t="str">
        <f t="shared" si="0"/>
        <v>Byggnadstyp_5</v>
      </c>
      <c r="N26" s="71" t="str">
        <f t="shared" si="0"/>
        <v>Byggnadstyp_6</v>
      </c>
      <c r="O26" s="71" t="str">
        <f t="shared" si="0"/>
        <v>Byggnadstyp_7</v>
      </c>
      <c r="P26" s="71" t="str">
        <f t="shared" si="0"/>
        <v>Byggnadstyp_8</v>
      </c>
      <c r="Q26" s="71" t="str">
        <f t="shared" si="0"/>
        <v>Byggnadstyp_9</v>
      </c>
      <c r="R26" s="71" t="str">
        <f t="shared" si="0"/>
        <v>Byggnadstyp_10</v>
      </c>
      <c r="S26" s="113"/>
      <c r="T26" s="113"/>
    </row>
    <row r="27" spans="2:20" s="190" customFormat="1" x14ac:dyDescent="0.25">
      <c r="B27" s="116"/>
      <c r="C27" s="117" t="s">
        <v>66</v>
      </c>
      <c r="D27" s="118"/>
      <c r="E27" s="118"/>
      <c r="F27" s="118"/>
      <c r="G27" s="119"/>
      <c r="H27" s="119"/>
      <c r="I27" s="242" t="s">
        <v>67</v>
      </c>
      <c r="J27" s="242" t="s">
        <v>68</v>
      </c>
      <c r="K27" s="242" t="s">
        <v>69</v>
      </c>
      <c r="L27" s="242" t="s">
        <v>70</v>
      </c>
      <c r="M27" s="242" t="s">
        <v>71</v>
      </c>
      <c r="N27" s="242" t="s">
        <v>72</v>
      </c>
      <c r="O27" s="242" t="s">
        <v>73</v>
      </c>
      <c r="P27" s="242" t="s">
        <v>74</v>
      </c>
      <c r="Q27" s="242" t="s">
        <v>75</v>
      </c>
      <c r="R27" s="242" t="s">
        <v>76</v>
      </c>
      <c r="S27" s="113"/>
      <c r="T27" s="113"/>
    </row>
    <row r="28" spans="2:20" s="190" customFormat="1" x14ac:dyDescent="0.25">
      <c r="B28" s="116"/>
      <c r="C28" s="120" t="s">
        <v>77</v>
      </c>
      <c r="D28" s="121"/>
      <c r="E28" s="121"/>
      <c r="F28" s="121"/>
      <c r="G28" s="122"/>
      <c r="H28" s="122" t="s">
        <v>78</v>
      </c>
      <c r="I28" s="182">
        <v>1</v>
      </c>
      <c r="J28" s="182">
        <v>1</v>
      </c>
      <c r="K28" s="182">
        <v>1</v>
      </c>
      <c r="L28" s="182">
        <v>1</v>
      </c>
      <c r="M28" s="182">
        <v>1</v>
      </c>
      <c r="N28" s="182">
        <v>1</v>
      </c>
      <c r="O28" s="182">
        <v>1</v>
      </c>
      <c r="P28" s="182">
        <v>1</v>
      </c>
      <c r="Q28" s="182">
        <v>1</v>
      </c>
      <c r="R28" s="182">
        <v>1</v>
      </c>
      <c r="S28" s="113"/>
      <c r="T28" s="113"/>
    </row>
    <row r="29" spans="2:20" s="190" customFormat="1" x14ac:dyDescent="0.25">
      <c r="B29" s="116"/>
      <c r="C29" s="120" t="s">
        <v>79</v>
      </c>
      <c r="D29" s="121"/>
      <c r="E29" s="121"/>
      <c r="F29" s="121"/>
      <c r="G29" s="122"/>
      <c r="H29" s="122" t="s">
        <v>80</v>
      </c>
      <c r="I29" s="182">
        <v>1</v>
      </c>
      <c r="J29" s="182">
        <v>1</v>
      </c>
      <c r="K29" s="182">
        <v>1</v>
      </c>
      <c r="L29" s="182">
        <v>1</v>
      </c>
      <c r="M29" s="182">
        <v>1</v>
      </c>
      <c r="N29" s="182">
        <v>1</v>
      </c>
      <c r="O29" s="182">
        <v>1</v>
      </c>
      <c r="P29" s="182">
        <v>1</v>
      </c>
      <c r="Q29" s="182">
        <v>1</v>
      </c>
      <c r="R29" s="182">
        <v>1</v>
      </c>
      <c r="S29" s="113"/>
      <c r="T29" s="113"/>
    </row>
    <row r="30" spans="2:20" s="190" customFormat="1" x14ac:dyDescent="0.25">
      <c r="B30" s="116"/>
      <c r="C30" s="115" t="s">
        <v>81</v>
      </c>
      <c r="D30" s="123"/>
      <c r="E30" s="123"/>
      <c r="F30" s="123"/>
      <c r="G30" s="123"/>
      <c r="H30" s="123"/>
      <c r="I30" s="197"/>
      <c r="J30" s="197"/>
      <c r="K30" s="197"/>
      <c r="L30" s="197"/>
      <c r="M30" s="197"/>
      <c r="N30" s="197"/>
      <c r="O30" s="197"/>
      <c r="P30" s="197"/>
      <c r="Q30" s="197"/>
      <c r="R30" s="197"/>
      <c r="S30" s="113"/>
      <c r="T30" s="113"/>
    </row>
    <row r="31" spans="2:20" s="190" customFormat="1" x14ac:dyDescent="0.25">
      <c r="B31" s="116"/>
      <c r="C31" s="115" t="s">
        <v>82</v>
      </c>
      <c r="D31" s="123"/>
      <c r="E31" s="123"/>
      <c r="F31" s="123"/>
      <c r="G31" s="123"/>
      <c r="H31" s="123"/>
      <c r="I31" s="197"/>
      <c r="J31" s="197"/>
      <c r="K31" s="197"/>
      <c r="L31" s="197"/>
      <c r="M31" s="197"/>
      <c r="N31" s="197"/>
      <c r="O31" s="197"/>
      <c r="P31" s="197"/>
      <c r="Q31" s="197"/>
      <c r="R31" s="197"/>
      <c r="S31" s="113"/>
      <c r="T31" s="113"/>
    </row>
    <row r="32" spans="2:20" s="190" customFormat="1" x14ac:dyDescent="0.25">
      <c r="B32" s="116" t="s">
        <v>83</v>
      </c>
      <c r="C32" s="120" t="s">
        <v>84</v>
      </c>
      <c r="D32" s="121"/>
      <c r="E32" s="121"/>
      <c r="F32" s="121"/>
      <c r="G32" s="122"/>
      <c r="H32" s="122" t="s">
        <v>78</v>
      </c>
      <c r="I32" s="72"/>
      <c r="J32" s="72"/>
      <c r="K32" s="72"/>
      <c r="L32" s="72"/>
      <c r="M32" s="72"/>
      <c r="N32" s="72"/>
      <c r="O32" s="72"/>
      <c r="P32" s="72"/>
      <c r="Q32" s="72"/>
      <c r="R32" s="72"/>
      <c r="S32" s="113"/>
      <c r="T32" s="113"/>
    </row>
    <row r="33" spans="2:20" s="190" customFormat="1" x14ac:dyDescent="0.25">
      <c r="B33" s="116" t="s">
        <v>85</v>
      </c>
      <c r="C33" s="120" t="s">
        <v>86</v>
      </c>
      <c r="D33" s="121"/>
      <c r="E33" s="121"/>
      <c r="F33" s="121"/>
      <c r="G33" s="122"/>
      <c r="H33" s="122" t="s">
        <v>87</v>
      </c>
      <c r="I33" s="72"/>
      <c r="J33" s="72"/>
      <c r="K33" s="72"/>
      <c r="L33" s="72"/>
      <c r="M33" s="72"/>
      <c r="N33" s="72"/>
      <c r="O33" s="72"/>
      <c r="P33" s="72"/>
      <c r="Q33" s="72"/>
      <c r="R33" s="72"/>
      <c r="S33" s="113"/>
      <c r="T33" s="113"/>
    </row>
    <row r="34" spans="2:20" s="190" customFormat="1" x14ac:dyDescent="0.25">
      <c r="B34" s="116" t="s">
        <v>88</v>
      </c>
      <c r="C34" s="120" t="s">
        <v>89</v>
      </c>
      <c r="D34" s="121"/>
      <c r="E34" s="121"/>
      <c r="F34" s="121"/>
      <c r="G34" s="122"/>
      <c r="H34" s="122" t="s">
        <v>87</v>
      </c>
      <c r="I34" s="72"/>
      <c r="J34" s="72"/>
      <c r="K34" s="72"/>
      <c r="L34" s="72"/>
      <c r="M34" s="72"/>
      <c r="N34" s="72"/>
      <c r="O34" s="72"/>
      <c r="P34" s="72"/>
      <c r="Q34" s="72"/>
      <c r="R34" s="72"/>
      <c r="S34" s="113"/>
      <c r="T34" s="113"/>
    </row>
    <row r="35" spans="2:20" s="190" customFormat="1" x14ac:dyDescent="0.25">
      <c r="B35" s="116" t="s">
        <v>90</v>
      </c>
      <c r="C35" s="120" t="s">
        <v>91</v>
      </c>
      <c r="D35" s="121"/>
      <c r="E35" s="121"/>
      <c r="F35" s="121"/>
      <c r="G35" s="122"/>
      <c r="H35" s="122" t="s">
        <v>92</v>
      </c>
      <c r="I35" s="72"/>
      <c r="J35" s="72"/>
      <c r="K35" s="72"/>
      <c r="L35" s="72"/>
      <c r="M35" s="72"/>
      <c r="N35" s="72"/>
      <c r="O35" s="72"/>
      <c r="P35" s="72"/>
      <c r="Q35" s="72"/>
      <c r="R35" s="72"/>
      <c r="S35" s="113"/>
      <c r="T35" s="113"/>
    </row>
    <row r="36" spans="2:20" s="190" customFormat="1" x14ac:dyDescent="0.25">
      <c r="B36" s="116" t="s">
        <v>93</v>
      </c>
      <c r="C36" s="120" t="s">
        <v>94</v>
      </c>
      <c r="D36" s="121"/>
      <c r="E36" s="121"/>
      <c r="F36" s="121"/>
      <c r="G36" s="122"/>
      <c r="H36" s="122"/>
      <c r="I36" s="72" t="s">
        <v>95</v>
      </c>
      <c r="J36" s="72" t="s">
        <v>95</v>
      </c>
      <c r="K36" s="72" t="s">
        <v>95</v>
      </c>
      <c r="L36" s="72" t="s">
        <v>95</v>
      </c>
      <c r="M36" s="72" t="s">
        <v>95</v>
      </c>
      <c r="N36" s="72" t="s">
        <v>95</v>
      </c>
      <c r="O36" s="72" t="s">
        <v>95</v>
      </c>
      <c r="P36" s="72" t="s">
        <v>95</v>
      </c>
      <c r="Q36" s="72" t="s">
        <v>95</v>
      </c>
      <c r="R36" s="72" t="s">
        <v>95</v>
      </c>
      <c r="S36" s="113"/>
      <c r="T36" s="113"/>
    </row>
    <row r="37" spans="2:20" s="190" customFormat="1" ht="24.75" x14ac:dyDescent="0.25">
      <c r="B37" s="116" t="s">
        <v>96</v>
      </c>
      <c r="C37" s="120" t="s">
        <v>97</v>
      </c>
      <c r="D37" s="121"/>
      <c r="E37" s="121"/>
      <c r="F37" s="121"/>
      <c r="G37" s="122"/>
      <c r="H37" s="122"/>
      <c r="I37" s="72" t="str" cm="1">
        <f t="array" ref="I37">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37" s="72" t="str" cm="1">
        <f t="array" ref="J37">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37" s="72" t="str" cm="1">
        <f t="array" ref="K37">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37" s="72" t="str" cm="1">
        <f t="array" ref="L37">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37" s="72" t="str" cm="1">
        <f t="array" ref="M37">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37" s="72" t="str" cm="1">
        <f t="array" ref="N37">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37" s="72" t="str" cm="1">
        <f t="array" ref="O37">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37" s="72" t="str" cm="1">
        <f t="array" ref="P37">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37" s="72" t="str" cm="1">
        <f t="array" ref="Q37">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37" s="72" t="str" cm="1">
        <f t="array" ref="R37">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37" s="113"/>
      <c r="T37" s="113"/>
    </row>
    <row r="38" spans="2:20" s="190" customFormat="1" ht="24.75" x14ac:dyDescent="0.25">
      <c r="B38" s="116" t="s">
        <v>98</v>
      </c>
      <c r="C38" s="120" t="s">
        <v>99</v>
      </c>
      <c r="D38" s="121"/>
      <c r="E38" s="121"/>
      <c r="F38" s="121"/>
      <c r="G38" s="122"/>
      <c r="H38" s="122"/>
      <c r="I38" s="72" t="str" cm="1">
        <f t="array" ref="I38">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38" s="72" t="str" cm="1">
        <f t="array" ref="J38">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38" s="72" t="str" cm="1">
        <f t="array" ref="K38">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38" s="72" t="str" cm="1">
        <f t="array" ref="L38">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38" s="72" t="str" cm="1">
        <f t="array" ref="M38">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38" s="72" t="str" cm="1">
        <f t="array" ref="N38">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38" s="72" t="str" cm="1">
        <f t="array" ref="O38">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38" s="72" t="str" cm="1">
        <f t="array" ref="P38">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38" s="72" t="str" cm="1">
        <f t="array" ref="Q38">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38" s="72" t="str" cm="1">
        <f t="array" ref="R38">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38" s="113"/>
      <c r="T38" s="113"/>
    </row>
    <row r="39" spans="2:20" s="190" customFormat="1" ht="24.75" x14ac:dyDescent="0.25">
      <c r="B39" s="116" t="s">
        <v>100</v>
      </c>
      <c r="C39" s="120" t="s">
        <v>101</v>
      </c>
      <c r="D39" s="121"/>
      <c r="E39" s="121"/>
      <c r="F39" s="121"/>
      <c r="G39" s="122"/>
      <c r="H39" s="122"/>
      <c r="I39" s="72" t="str" cm="1">
        <f t="array" ref="I39">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39" s="72" t="str" cm="1">
        <f t="array" ref="J39">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39" s="72" t="str" cm="1">
        <f t="array" ref="K39">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39" s="72" t="str" cm="1">
        <f t="array" ref="L39">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39" s="72" t="str" cm="1">
        <f t="array" ref="M39">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39" s="72" t="str" cm="1">
        <f t="array" ref="N39">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39" s="72" t="str" cm="1">
        <f t="array" ref="O39">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39" s="72" t="str" cm="1">
        <f t="array" ref="P39">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39" s="72" t="str" cm="1">
        <f t="array" ref="Q39">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39" s="72" t="str" cm="1">
        <f t="array" ref="R39">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39" s="113"/>
      <c r="T39" s="113"/>
    </row>
    <row r="40" spans="2:20" s="190" customFormat="1" x14ac:dyDescent="0.25">
      <c r="B40" s="116" t="s">
        <v>102</v>
      </c>
      <c r="C40" s="124" t="s">
        <v>103</v>
      </c>
      <c r="D40" s="121"/>
      <c r="E40" s="121"/>
      <c r="F40" s="121"/>
      <c r="G40" s="122"/>
      <c r="H40" s="122"/>
      <c r="I40" s="183">
        <f>IF(IF(I36=$I$238,I37,IF(I36=$I$239,I37*I38,IF(I36=$I$240,I37*I38*I39,1)))=0,"Fyll i 2.6-2.8",IF(I36=$I$238,I37,IF(I36=$I$239,I37*I38,IF(I36=$I$240,I37*I38*I39,1))))</f>
        <v>1</v>
      </c>
      <c r="J40" s="183">
        <f t="shared" ref="J40:R40" si="1">IF(IF(J36=$I$238,J37,IF(J36=$I$239,J37*J38,IF(J36=$I$240,J37*J38*J39,1)))=0,"Fyll i 2.6-2.8",IF(J36=$I$238,J37,IF(J36=$I$239,J37*J38,IF(J36=$I$240,J37*J38*J39,1))))</f>
        <v>1</v>
      </c>
      <c r="K40" s="183">
        <f t="shared" si="1"/>
        <v>1</v>
      </c>
      <c r="L40" s="183">
        <f t="shared" si="1"/>
        <v>1</v>
      </c>
      <c r="M40" s="183">
        <f t="shared" si="1"/>
        <v>1</v>
      </c>
      <c r="N40" s="183">
        <f t="shared" si="1"/>
        <v>1</v>
      </c>
      <c r="O40" s="183">
        <f t="shared" si="1"/>
        <v>1</v>
      </c>
      <c r="P40" s="183">
        <f t="shared" si="1"/>
        <v>1</v>
      </c>
      <c r="Q40" s="183">
        <f t="shared" si="1"/>
        <v>1</v>
      </c>
      <c r="R40" s="183">
        <f t="shared" si="1"/>
        <v>1</v>
      </c>
      <c r="S40" s="113"/>
      <c r="T40" s="113"/>
    </row>
    <row r="41" spans="2:20" s="190" customFormat="1" x14ac:dyDescent="0.25">
      <c r="B41" s="116" t="s">
        <v>104</v>
      </c>
      <c r="C41" s="120" t="s">
        <v>105</v>
      </c>
      <c r="D41" s="121"/>
      <c r="E41" s="121"/>
      <c r="F41" s="121"/>
      <c r="G41" s="122"/>
      <c r="H41" s="122" t="s">
        <v>106</v>
      </c>
      <c r="I41" s="72"/>
      <c r="J41" s="72"/>
      <c r="K41" s="72"/>
      <c r="L41" s="72"/>
      <c r="M41" s="72"/>
      <c r="N41" s="72"/>
      <c r="O41" s="72"/>
      <c r="P41" s="72"/>
      <c r="Q41" s="72"/>
      <c r="R41" s="72"/>
      <c r="S41" s="113"/>
      <c r="T41" s="113"/>
    </row>
    <row r="42" spans="2:20" s="190" customFormat="1" x14ac:dyDescent="0.25">
      <c r="B42" s="116"/>
      <c r="C42" s="123"/>
      <c r="D42" s="123"/>
      <c r="E42" s="123"/>
      <c r="F42" s="123"/>
      <c r="G42" s="123"/>
      <c r="H42" s="123"/>
      <c r="I42" s="197"/>
      <c r="J42" s="197"/>
      <c r="K42" s="197"/>
      <c r="L42" s="197"/>
      <c r="M42" s="197"/>
      <c r="N42" s="197"/>
      <c r="O42" s="197"/>
      <c r="P42" s="197"/>
      <c r="Q42" s="197"/>
      <c r="R42" s="197"/>
      <c r="S42" s="113"/>
      <c r="T42" s="113"/>
    </row>
    <row r="43" spans="2:20" s="190" customFormat="1" x14ac:dyDescent="0.25">
      <c r="B43" s="116"/>
      <c r="C43" s="115" t="s">
        <v>107</v>
      </c>
      <c r="D43" s="123"/>
      <c r="E43" s="123"/>
      <c r="F43" s="123"/>
      <c r="G43" s="123"/>
      <c r="H43" s="123"/>
      <c r="I43" s="197"/>
      <c r="J43" s="197"/>
      <c r="K43" s="197"/>
      <c r="L43" s="197"/>
      <c r="M43" s="197"/>
      <c r="N43" s="197"/>
      <c r="O43" s="197"/>
      <c r="P43" s="197"/>
      <c r="Q43" s="197"/>
      <c r="R43" s="197"/>
      <c r="S43" s="113"/>
      <c r="T43" s="113"/>
    </row>
    <row r="44" spans="2:20" s="190" customFormat="1" x14ac:dyDescent="0.25">
      <c r="B44" s="116" t="s">
        <v>83</v>
      </c>
      <c r="C44" s="120" t="s">
        <v>84</v>
      </c>
      <c r="D44" s="121"/>
      <c r="E44" s="121"/>
      <c r="F44" s="121"/>
      <c r="G44" s="122"/>
      <c r="H44" s="122" t="s">
        <v>78</v>
      </c>
      <c r="I44" s="72"/>
      <c r="J44" s="72"/>
      <c r="K44" s="72"/>
      <c r="L44" s="72"/>
      <c r="M44" s="72"/>
      <c r="N44" s="72"/>
      <c r="O44" s="72"/>
      <c r="P44" s="72"/>
      <c r="Q44" s="72"/>
      <c r="R44" s="72"/>
      <c r="S44" s="113"/>
      <c r="T44" s="113"/>
    </row>
    <row r="45" spans="2:20" s="190" customFormat="1" x14ac:dyDescent="0.25">
      <c r="B45" s="116" t="s">
        <v>85</v>
      </c>
      <c r="C45" s="120" t="s">
        <v>86</v>
      </c>
      <c r="D45" s="121"/>
      <c r="E45" s="121"/>
      <c r="F45" s="121"/>
      <c r="G45" s="122"/>
      <c r="H45" s="122" t="s">
        <v>87</v>
      </c>
      <c r="I45" s="72"/>
      <c r="J45" s="72"/>
      <c r="K45" s="72"/>
      <c r="L45" s="72"/>
      <c r="M45" s="72"/>
      <c r="N45" s="72"/>
      <c r="O45" s="72"/>
      <c r="P45" s="72"/>
      <c r="Q45" s="72"/>
      <c r="R45" s="72"/>
      <c r="S45" s="113"/>
      <c r="T45" s="113"/>
    </row>
    <row r="46" spans="2:20" s="190" customFormat="1" x14ac:dyDescent="0.25">
      <c r="B46" s="116" t="s">
        <v>88</v>
      </c>
      <c r="C46" s="120" t="s">
        <v>89</v>
      </c>
      <c r="D46" s="121"/>
      <c r="E46" s="121"/>
      <c r="F46" s="121"/>
      <c r="G46" s="122"/>
      <c r="H46" s="122" t="s">
        <v>87</v>
      </c>
      <c r="I46" s="72"/>
      <c r="J46" s="72"/>
      <c r="K46" s="72"/>
      <c r="L46" s="72"/>
      <c r="M46" s="72"/>
      <c r="N46" s="72"/>
      <c r="O46" s="72"/>
      <c r="P46" s="72"/>
      <c r="Q46" s="72"/>
      <c r="R46" s="72"/>
      <c r="S46" s="113"/>
      <c r="T46" s="113"/>
    </row>
    <row r="47" spans="2:20" s="190" customFormat="1" x14ac:dyDescent="0.25">
      <c r="B47" s="116" t="s">
        <v>90</v>
      </c>
      <c r="C47" s="120" t="s">
        <v>91</v>
      </c>
      <c r="D47" s="121"/>
      <c r="E47" s="121"/>
      <c r="F47" s="121"/>
      <c r="G47" s="122"/>
      <c r="H47" s="122" t="s">
        <v>92</v>
      </c>
      <c r="I47" s="72"/>
      <c r="J47" s="72"/>
      <c r="K47" s="72"/>
      <c r="L47" s="72"/>
      <c r="M47" s="72"/>
      <c r="N47" s="72"/>
      <c r="O47" s="72"/>
      <c r="P47" s="72"/>
      <c r="Q47" s="72"/>
      <c r="R47" s="72"/>
      <c r="S47" s="113"/>
      <c r="T47" s="113"/>
    </row>
    <row r="48" spans="2:20" s="190" customFormat="1" x14ac:dyDescent="0.25">
      <c r="B48" s="116" t="s">
        <v>93</v>
      </c>
      <c r="C48" s="120" t="s">
        <v>94</v>
      </c>
      <c r="D48" s="121"/>
      <c r="E48" s="121"/>
      <c r="F48" s="121"/>
      <c r="G48" s="122"/>
      <c r="H48" s="122"/>
      <c r="I48" s="72" t="s">
        <v>95</v>
      </c>
      <c r="J48" s="72" t="s">
        <v>95</v>
      </c>
      <c r="K48" s="72" t="s">
        <v>95</v>
      </c>
      <c r="L48" s="72" t="s">
        <v>95</v>
      </c>
      <c r="M48" s="72" t="s">
        <v>95</v>
      </c>
      <c r="N48" s="72" t="s">
        <v>95</v>
      </c>
      <c r="O48" s="72" t="s">
        <v>95</v>
      </c>
      <c r="P48" s="72" t="s">
        <v>95</v>
      </c>
      <c r="Q48" s="72" t="s">
        <v>95</v>
      </c>
      <c r="R48" s="72" t="s">
        <v>95</v>
      </c>
      <c r="S48" s="113"/>
      <c r="T48" s="113"/>
    </row>
    <row r="49" spans="2:20" s="190" customFormat="1" ht="24.75" x14ac:dyDescent="0.25">
      <c r="B49" s="116" t="s">
        <v>96</v>
      </c>
      <c r="C49" s="120" t="s">
        <v>97</v>
      </c>
      <c r="D49" s="121"/>
      <c r="E49" s="121"/>
      <c r="F49" s="121"/>
      <c r="G49" s="122"/>
      <c r="H49" s="122"/>
      <c r="I49" s="72" t="str" cm="1">
        <f t="array" ref="I49">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49" s="72" t="str" cm="1">
        <f t="array" ref="J49">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49" s="72" t="str" cm="1">
        <f t="array" ref="K49">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49" s="72" t="str" cm="1">
        <f t="array" ref="L49">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49" s="72" t="str" cm="1">
        <f t="array" ref="M49">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49" s="72" t="str" cm="1">
        <f t="array" ref="N49">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49" s="72" t="str" cm="1">
        <f t="array" ref="O49">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49" s="72" t="str" cm="1">
        <f t="array" ref="P49">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49" s="72" t="str" cm="1">
        <f t="array" ref="Q49">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49" s="72" t="str" cm="1">
        <f t="array" ref="R49">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49" s="113"/>
      <c r="T49" s="113"/>
    </row>
    <row r="50" spans="2:20" s="190" customFormat="1" ht="24.75" x14ac:dyDescent="0.25">
      <c r="B50" s="116" t="s">
        <v>98</v>
      </c>
      <c r="C50" s="120" t="s">
        <v>99</v>
      </c>
      <c r="D50" s="121"/>
      <c r="E50" s="121"/>
      <c r="F50" s="121"/>
      <c r="G50" s="122"/>
      <c r="H50" s="122"/>
      <c r="I50" s="72" t="str" cm="1">
        <f t="array" ref="I50">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50" s="72" t="str" cm="1">
        <f t="array" ref="J50">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50" s="72" t="str" cm="1">
        <f t="array" ref="K50">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50" s="72" t="str" cm="1">
        <f t="array" ref="L50">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50" s="72" t="str" cm="1">
        <f t="array" ref="M50">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50" s="72" t="str" cm="1">
        <f t="array" ref="N50">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50" s="72" t="str" cm="1">
        <f t="array" ref="O50">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50" s="72" t="str" cm="1">
        <f t="array" ref="P50">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50" s="72" t="str" cm="1">
        <f t="array" ref="Q50">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50" s="72" t="str" cm="1">
        <f t="array" ref="R50">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50" s="113"/>
      <c r="T50" s="113"/>
    </row>
    <row r="51" spans="2:20" s="190" customFormat="1" ht="24.75" x14ac:dyDescent="0.25">
      <c r="B51" s="116" t="s">
        <v>100</v>
      </c>
      <c r="C51" s="120" t="s">
        <v>101</v>
      </c>
      <c r="D51" s="121"/>
      <c r="E51" s="121"/>
      <c r="F51" s="121"/>
      <c r="G51" s="122"/>
      <c r="H51" s="122"/>
      <c r="I51" s="72" t="str" cm="1">
        <f t="array" ref="I51">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51" s="72" t="str" cm="1">
        <f t="array" ref="J51">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51" s="72" t="str" cm="1">
        <f t="array" ref="K51">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51" s="72" t="str" cm="1">
        <f t="array" ref="L51">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51" s="72" t="str" cm="1">
        <f t="array" ref="M51">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51" s="72" t="str" cm="1">
        <f t="array" ref="N51">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51" s="72" t="str" cm="1">
        <f t="array" ref="O51">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51" s="72" t="str" cm="1">
        <f t="array" ref="P51">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51" s="72" t="str" cm="1">
        <f t="array" ref="Q51">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51" s="72" t="str" cm="1">
        <f t="array" ref="R51">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51" s="113"/>
      <c r="T51" s="113"/>
    </row>
    <row r="52" spans="2:20" s="190" customFormat="1" x14ac:dyDescent="0.25">
      <c r="B52" s="116" t="s">
        <v>102</v>
      </c>
      <c r="C52" s="124" t="s">
        <v>103</v>
      </c>
      <c r="D52" s="121"/>
      <c r="E52" s="121"/>
      <c r="F52" s="121"/>
      <c r="G52" s="122"/>
      <c r="H52" s="122"/>
      <c r="I52" s="183">
        <f>IF(IF(I48=$I$238,I49,IF(I48=$I$239,I49*I50,IF(I48=$I$240,I49*I50*I51,1)))=0,"Fyll i 2.6-2.8",IF(I48=$I$238,I49,IF(I48=$I$239,I49*I50,IF(I48=$I$240,I49*I50*I51,1))))</f>
        <v>1</v>
      </c>
      <c r="J52" s="183">
        <f t="shared" ref="J52:R52" si="2">IF(IF(J48=$I$238,J49,IF(J48=$I$239,J49*J50,IF(J48=$I$240,J49*J50*J51,1)))=0,"Fyll i 2.6-2.8",IF(J48=$I$238,J49,IF(J48=$I$239,J49*J50,IF(J48=$I$240,J49*J50*J51,1))))</f>
        <v>1</v>
      </c>
      <c r="K52" s="183">
        <f t="shared" si="2"/>
        <v>1</v>
      </c>
      <c r="L52" s="183">
        <f t="shared" si="2"/>
        <v>1</v>
      </c>
      <c r="M52" s="183">
        <f t="shared" si="2"/>
        <v>1</v>
      </c>
      <c r="N52" s="183">
        <f t="shared" si="2"/>
        <v>1</v>
      </c>
      <c r="O52" s="183">
        <f t="shared" si="2"/>
        <v>1</v>
      </c>
      <c r="P52" s="183">
        <f t="shared" si="2"/>
        <v>1</v>
      </c>
      <c r="Q52" s="183">
        <f t="shared" si="2"/>
        <v>1</v>
      </c>
      <c r="R52" s="183">
        <f t="shared" si="2"/>
        <v>1</v>
      </c>
      <c r="S52" s="113"/>
      <c r="T52" s="113"/>
    </row>
    <row r="53" spans="2:20" s="190" customFormat="1" x14ac:dyDescent="0.25">
      <c r="B53" s="116" t="s">
        <v>104</v>
      </c>
      <c r="C53" s="120" t="s">
        <v>105</v>
      </c>
      <c r="D53" s="121"/>
      <c r="E53" s="121"/>
      <c r="F53" s="121"/>
      <c r="G53" s="122"/>
      <c r="H53" s="122" t="s">
        <v>106</v>
      </c>
      <c r="I53" s="72"/>
      <c r="J53" s="72"/>
      <c r="K53" s="72"/>
      <c r="L53" s="72"/>
      <c r="M53" s="72"/>
      <c r="N53" s="72"/>
      <c r="O53" s="72"/>
      <c r="P53" s="72"/>
      <c r="Q53" s="72"/>
      <c r="R53" s="72"/>
      <c r="S53" s="113"/>
      <c r="T53" s="113"/>
    </row>
    <row r="54" spans="2:20" s="190" customFormat="1" x14ac:dyDescent="0.25">
      <c r="B54" s="116"/>
      <c r="C54" s="123"/>
      <c r="D54" s="123"/>
      <c r="E54" s="123"/>
      <c r="F54" s="123"/>
      <c r="G54" s="123"/>
      <c r="H54" s="123"/>
      <c r="I54" s="197"/>
      <c r="J54" s="197"/>
      <c r="K54" s="197"/>
      <c r="L54" s="197"/>
      <c r="M54" s="197"/>
      <c r="N54" s="197"/>
      <c r="O54" s="197"/>
      <c r="P54" s="197"/>
      <c r="Q54" s="197"/>
      <c r="R54" s="197"/>
      <c r="S54" s="113"/>
      <c r="T54" s="113"/>
    </row>
    <row r="55" spans="2:20" s="190" customFormat="1" x14ac:dyDescent="0.25">
      <c r="B55" s="116"/>
      <c r="C55" s="115" t="s">
        <v>108</v>
      </c>
      <c r="D55" s="123"/>
      <c r="E55" s="123"/>
      <c r="F55" s="123"/>
      <c r="G55" s="123"/>
      <c r="H55" s="123"/>
      <c r="I55" s="197"/>
      <c r="J55" s="197"/>
      <c r="K55" s="197"/>
      <c r="L55" s="197"/>
      <c r="M55" s="197"/>
      <c r="N55" s="197"/>
      <c r="O55" s="197"/>
      <c r="P55" s="197"/>
      <c r="Q55" s="197"/>
      <c r="R55" s="197"/>
      <c r="S55" s="113"/>
      <c r="T55" s="113"/>
    </row>
    <row r="56" spans="2:20" s="190" customFormat="1" x14ac:dyDescent="0.25">
      <c r="B56" s="116" t="s">
        <v>83</v>
      </c>
      <c r="C56" s="120" t="s">
        <v>84</v>
      </c>
      <c r="D56" s="121"/>
      <c r="E56" s="121"/>
      <c r="F56" s="121"/>
      <c r="G56" s="122"/>
      <c r="H56" s="122" t="s">
        <v>78</v>
      </c>
      <c r="I56" s="72"/>
      <c r="J56" s="72"/>
      <c r="K56" s="72"/>
      <c r="L56" s="72"/>
      <c r="M56" s="72"/>
      <c r="N56" s="72"/>
      <c r="O56" s="72"/>
      <c r="P56" s="72"/>
      <c r="Q56" s="72"/>
      <c r="R56" s="72"/>
      <c r="S56" s="113"/>
      <c r="T56" s="113"/>
    </row>
    <row r="57" spans="2:20" s="190" customFormat="1" x14ac:dyDescent="0.25">
      <c r="B57" s="116" t="s">
        <v>85</v>
      </c>
      <c r="C57" s="120" t="s">
        <v>86</v>
      </c>
      <c r="D57" s="121"/>
      <c r="E57" s="121"/>
      <c r="F57" s="121"/>
      <c r="G57" s="122"/>
      <c r="H57" s="122" t="s">
        <v>87</v>
      </c>
      <c r="I57" s="72"/>
      <c r="J57" s="72"/>
      <c r="K57" s="72"/>
      <c r="L57" s="72"/>
      <c r="M57" s="72"/>
      <c r="N57" s="72"/>
      <c r="O57" s="72"/>
      <c r="P57" s="72"/>
      <c r="Q57" s="72"/>
      <c r="R57" s="72"/>
      <c r="S57" s="113"/>
      <c r="T57" s="113"/>
    </row>
    <row r="58" spans="2:20" s="190" customFormat="1" x14ac:dyDescent="0.25">
      <c r="B58" s="116" t="s">
        <v>88</v>
      </c>
      <c r="C58" s="120" t="s">
        <v>89</v>
      </c>
      <c r="D58" s="121"/>
      <c r="E58" s="121"/>
      <c r="F58" s="121"/>
      <c r="G58" s="122"/>
      <c r="H58" s="122" t="s">
        <v>87</v>
      </c>
      <c r="I58" s="72"/>
      <c r="J58" s="72"/>
      <c r="K58" s="72"/>
      <c r="L58" s="72"/>
      <c r="M58" s="72"/>
      <c r="N58" s="72"/>
      <c r="O58" s="72"/>
      <c r="P58" s="72"/>
      <c r="Q58" s="72"/>
      <c r="R58" s="72"/>
      <c r="S58" s="113"/>
      <c r="T58" s="113"/>
    </row>
    <row r="59" spans="2:20" s="190" customFormat="1" x14ac:dyDescent="0.25">
      <c r="B59" s="116" t="s">
        <v>90</v>
      </c>
      <c r="C59" s="120" t="s">
        <v>91</v>
      </c>
      <c r="D59" s="121"/>
      <c r="E59" s="121"/>
      <c r="F59" s="121"/>
      <c r="G59" s="122"/>
      <c r="H59" s="122" t="s">
        <v>92</v>
      </c>
      <c r="I59" s="72"/>
      <c r="J59" s="72"/>
      <c r="K59" s="72"/>
      <c r="L59" s="72"/>
      <c r="M59" s="72"/>
      <c r="N59" s="72"/>
      <c r="O59" s="72"/>
      <c r="P59" s="72"/>
      <c r="Q59" s="72"/>
      <c r="R59" s="72"/>
      <c r="S59" s="113"/>
      <c r="T59" s="113"/>
    </row>
    <row r="60" spans="2:20" s="190" customFormat="1" x14ac:dyDescent="0.25">
      <c r="B60" s="116" t="s">
        <v>93</v>
      </c>
      <c r="C60" s="120" t="s">
        <v>94</v>
      </c>
      <c r="D60" s="121"/>
      <c r="E60" s="121"/>
      <c r="F60" s="121"/>
      <c r="G60" s="122"/>
      <c r="H60" s="122"/>
      <c r="I60" s="72" t="s">
        <v>95</v>
      </c>
      <c r="J60" s="72" t="s">
        <v>95</v>
      </c>
      <c r="K60" s="72" t="s">
        <v>95</v>
      </c>
      <c r="L60" s="72" t="s">
        <v>95</v>
      </c>
      <c r="M60" s="72" t="s">
        <v>95</v>
      </c>
      <c r="N60" s="72" t="s">
        <v>95</v>
      </c>
      <c r="O60" s="72" t="s">
        <v>95</v>
      </c>
      <c r="P60" s="72" t="s">
        <v>95</v>
      </c>
      <c r="Q60" s="72" t="s">
        <v>95</v>
      </c>
      <c r="R60" s="72" t="s">
        <v>95</v>
      </c>
      <c r="S60" s="113"/>
      <c r="T60" s="113"/>
    </row>
    <row r="61" spans="2:20" s="190" customFormat="1" ht="24.75" x14ac:dyDescent="0.25">
      <c r="B61" s="116" t="s">
        <v>96</v>
      </c>
      <c r="C61" s="120" t="s">
        <v>97</v>
      </c>
      <c r="D61" s="121"/>
      <c r="E61" s="121"/>
      <c r="F61" s="121"/>
      <c r="G61" s="122"/>
      <c r="H61" s="122"/>
      <c r="I61" s="72" t="str" cm="1">
        <f t="array" ref="I61">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61" s="72" t="str" cm="1">
        <f t="array" ref="J61">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61" s="72" t="str" cm="1">
        <f t="array" ref="K61">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61" s="72" t="str" cm="1">
        <f t="array" ref="L61">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61" s="72" t="str" cm="1">
        <f t="array" ref="M61">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61" s="72" t="str" cm="1">
        <f t="array" ref="N61">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61" s="72" t="str" cm="1">
        <f t="array" ref="O61">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61" s="72" t="str" cm="1">
        <f t="array" ref="P61">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61" s="72" t="str" cm="1">
        <f t="array" ref="Q61">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61" s="72" t="str" cm="1">
        <f t="array" ref="R61">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61" s="113"/>
      <c r="T61" s="113"/>
    </row>
    <row r="62" spans="2:20" s="190" customFormat="1" ht="24.75" x14ac:dyDescent="0.25">
      <c r="B62" s="116" t="s">
        <v>98</v>
      </c>
      <c r="C62" s="120" t="s">
        <v>99</v>
      </c>
      <c r="D62" s="121"/>
      <c r="E62" s="121"/>
      <c r="F62" s="121"/>
      <c r="G62" s="122"/>
      <c r="H62" s="122"/>
      <c r="I62" s="72" t="str" cm="1">
        <f t="array" ref="I62">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62" s="72" t="str" cm="1">
        <f t="array" ref="J62">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62" s="72" t="str" cm="1">
        <f t="array" ref="K62">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62" s="72" t="str" cm="1">
        <f t="array" ref="L62">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62" s="72" t="str" cm="1">
        <f t="array" ref="M62">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62" s="72" t="str" cm="1">
        <f t="array" ref="N62">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62" s="72" t="str" cm="1">
        <f t="array" ref="O62">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62" s="72" t="str" cm="1">
        <f t="array" ref="P62">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62" s="72" t="str" cm="1">
        <f t="array" ref="Q62">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62" s="72" t="str" cm="1">
        <f t="array" ref="R62">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62" s="113"/>
      <c r="T62" s="113"/>
    </row>
    <row r="63" spans="2:20" s="190" customFormat="1" ht="24.75" x14ac:dyDescent="0.25">
      <c r="B63" s="116" t="s">
        <v>100</v>
      </c>
      <c r="C63" s="120" t="s">
        <v>101</v>
      </c>
      <c r="D63" s="121"/>
      <c r="E63" s="121"/>
      <c r="F63" s="121"/>
      <c r="G63" s="122"/>
      <c r="H63" s="122"/>
      <c r="I63" s="72" t="str" cm="1">
        <f t="array" ref="I63">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63" s="72" t="str" cm="1">
        <f t="array" ref="J63">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63" s="72" t="str" cm="1">
        <f t="array" ref="K63">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63" s="72" t="str" cm="1">
        <f t="array" ref="L63">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63" s="72" t="str" cm="1">
        <f t="array" ref="M63">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63" s="72" t="str" cm="1">
        <f t="array" ref="N63">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63" s="72" t="str" cm="1">
        <f t="array" ref="O63">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63" s="72" t="str" cm="1">
        <f t="array" ref="P63">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63" s="72" t="str" cm="1">
        <f t="array" ref="Q63">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63" s="72" t="str" cm="1">
        <f t="array" ref="R63">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63" s="113"/>
      <c r="T63" s="113"/>
    </row>
    <row r="64" spans="2:20" s="190" customFormat="1" x14ac:dyDescent="0.25">
      <c r="B64" s="116" t="s">
        <v>102</v>
      </c>
      <c r="C64" s="124" t="s">
        <v>103</v>
      </c>
      <c r="D64" s="121"/>
      <c r="E64" s="121"/>
      <c r="F64" s="121"/>
      <c r="G64" s="122"/>
      <c r="H64" s="122"/>
      <c r="I64" s="183">
        <f>IF(IF(I60=$I$238,I61,IF(I60=$I$239,I61*I62,IF(I60=$I$240,I61*I62*I63,1)))=0,"Fyll i 2.6-2.8",IF(I60=$I$238,I61,IF(I60=$I$239,I61*I62,IF(I60=$I$240,I61*I62*I63,1))))</f>
        <v>1</v>
      </c>
      <c r="J64" s="183">
        <f t="shared" ref="J64:R64" si="3">IF(IF(J60=$I$238,J61,IF(J60=$I$239,J61*J62,IF(J60=$I$240,J61*J62*J63,1)))=0,"Fyll i 2.6-2.8",IF(J60=$I$238,J61,IF(J60=$I$239,J61*J62,IF(J60=$I$240,J61*J62*J63,1))))</f>
        <v>1</v>
      </c>
      <c r="K64" s="183">
        <f t="shared" si="3"/>
        <v>1</v>
      </c>
      <c r="L64" s="183">
        <f t="shared" si="3"/>
        <v>1</v>
      </c>
      <c r="M64" s="183">
        <f t="shared" si="3"/>
        <v>1</v>
      </c>
      <c r="N64" s="183">
        <f t="shared" si="3"/>
        <v>1</v>
      </c>
      <c r="O64" s="183">
        <f t="shared" si="3"/>
        <v>1</v>
      </c>
      <c r="P64" s="183">
        <f t="shared" si="3"/>
        <v>1</v>
      </c>
      <c r="Q64" s="183">
        <f t="shared" si="3"/>
        <v>1</v>
      </c>
      <c r="R64" s="183">
        <f t="shared" si="3"/>
        <v>1</v>
      </c>
      <c r="S64" s="113"/>
      <c r="T64" s="113"/>
    </row>
    <row r="65" spans="2:20" s="190" customFormat="1" x14ac:dyDescent="0.25">
      <c r="B65" s="116" t="s">
        <v>104</v>
      </c>
      <c r="C65" s="120" t="s">
        <v>105</v>
      </c>
      <c r="D65" s="121"/>
      <c r="E65" s="121"/>
      <c r="F65" s="121"/>
      <c r="G65" s="122"/>
      <c r="H65" s="122" t="s">
        <v>106</v>
      </c>
      <c r="I65" s="72"/>
      <c r="J65" s="72"/>
      <c r="K65" s="72"/>
      <c r="L65" s="72"/>
      <c r="M65" s="72"/>
      <c r="N65" s="72"/>
      <c r="O65" s="72"/>
      <c r="P65" s="72"/>
      <c r="Q65" s="72"/>
      <c r="R65" s="72"/>
      <c r="S65" s="113"/>
      <c r="T65" s="113"/>
    </row>
    <row r="66" spans="2:20" s="190" customFormat="1" x14ac:dyDescent="0.25">
      <c r="B66" s="116"/>
      <c r="C66" s="123"/>
      <c r="D66" s="123"/>
      <c r="E66" s="123"/>
      <c r="F66" s="123"/>
      <c r="G66" s="123"/>
      <c r="H66" s="123"/>
      <c r="I66" s="197"/>
      <c r="J66" s="197"/>
      <c r="K66" s="197"/>
      <c r="L66" s="197"/>
      <c r="M66" s="197"/>
      <c r="N66" s="197"/>
      <c r="O66" s="197"/>
      <c r="P66" s="197"/>
      <c r="Q66" s="197"/>
      <c r="R66" s="197"/>
      <c r="S66" s="113"/>
      <c r="T66" s="113"/>
    </row>
    <row r="67" spans="2:20" s="190" customFormat="1" x14ac:dyDescent="0.25">
      <c r="B67" s="116"/>
      <c r="C67" s="115" t="s">
        <v>109</v>
      </c>
      <c r="D67" s="123"/>
      <c r="E67" s="123"/>
      <c r="F67" s="123"/>
      <c r="G67" s="123"/>
      <c r="H67" s="123"/>
      <c r="I67" s="197"/>
      <c r="J67" s="197"/>
      <c r="K67" s="197"/>
      <c r="L67" s="197"/>
      <c r="M67" s="197"/>
      <c r="N67" s="197"/>
      <c r="O67" s="197"/>
      <c r="P67" s="197"/>
      <c r="Q67" s="197"/>
      <c r="R67" s="197"/>
      <c r="S67" s="113"/>
      <c r="T67" s="113"/>
    </row>
    <row r="68" spans="2:20" s="190" customFormat="1" x14ac:dyDescent="0.25">
      <c r="B68" s="116" t="s">
        <v>83</v>
      </c>
      <c r="C68" s="120" t="s">
        <v>84</v>
      </c>
      <c r="D68" s="121"/>
      <c r="E68" s="121"/>
      <c r="F68" s="121"/>
      <c r="G68" s="122"/>
      <c r="H68" s="122" t="s">
        <v>78</v>
      </c>
      <c r="I68" s="72"/>
      <c r="J68" s="72"/>
      <c r="K68" s="72"/>
      <c r="L68" s="72"/>
      <c r="M68" s="72"/>
      <c r="N68" s="72"/>
      <c r="O68" s="72"/>
      <c r="P68" s="72"/>
      <c r="Q68" s="72"/>
      <c r="R68" s="72"/>
      <c r="S68" s="113"/>
      <c r="T68" s="113"/>
    </row>
    <row r="69" spans="2:20" s="190" customFormat="1" x14ac:dyDescent="0.25">
      <c r="B69" s="116" t="s">
        <v>85</v>
      </c>
      <c r="C69" s="120" t="s">
        <v>86</v>
      </c>
      <c r="D69" s="121"/>
      <c r="E69" s="121"/>
      <c r="F69" s="121"/>
      <c r="G69" s="122"/>
      <c r="H69" s="122" t="s">
        <v>87</v>
      </c>
      <c r="I69" s="72"/>
      <c r="J69" s="72"/>
      <c r="K69" s="72"/>
      <c r="L69" s="72"/>
      <c r="M69" s="72"/>
      <c r="N69" s="72"/>
      <c r="O69" s="72"/>
      <c r="P69" s="72"/>
      <c r="Q69" s="72"/>
      <c r="R69" s="72"/>
      <c r="S69" s="113"/>
      <c r="T69" s="113"/>
    </row>
    <row r="70" spans="2:20" s="190" customFormat="1" x14ac:dyDescent="0.25">
      <c r="B70" s="116" t="s">
        <v>88</v>
      </c>
      <c r="C70" s="120" t="s">
        <v>89</v>
      </c>
      <c r="D70" s="121"/>
      <c r="E70" s="121"/>
      <c r="F70" s="121"/>
      <c r="G70" s="122"/>
      <c r="H70" s="122" t="s">
        <v>87</v>
      </c>
      <c r="I70" s="72"/>
      <c r="J70" s="72"/>
      <c r="K70" s="72"/>
      <c r="L70" s="72"/>
      <c r="M70" s="72"/>
      <c r="N70" s="72"/>
      <c r="O70" s="72"/>
      <c r="P70" s="72"/>
      <c r="Q70" s="72"/>
      <c r="R70" s="72"/>
      <c r="S70" s="113"/>
      <c r="T70" s="113"/>
    </row>
    <row r="71" spans="2:20" s="190" customFormat="1" x14ac:dyDescent="0.25">
      <c r="B71" s="116" t="s">
        <v>90</v>
      </c>
      <c r="C71" s="120" t="s">
        <v>91</v>
      </c>
      <c r="D71" s="121"/>
      <c r="E71" s="121"/>
      <c r="F71" s="121"/>
      <c r="G71" s="122"/>
      <c r="H71" s="122" t="s">
        <v>92</v>
      </c>
      <c r="I71" s="72"/>
      <c r="J71" s="72"/>
      <c r="K71" s="72"/>
      <c r="L71" s="72"/>
      <c r="M71" s="72"/>
      <c r="N71" s="72"/>
      <c r="O71" s="72"/>
      <c r="P71" s="72"/>
      <c r="Q71" s="72"/>
      <c r="R71" s="72"/>
      <c r="S71" s="113"/>
      <c r="T71" s="113"/>
    </row>
    <row r="72" spans="2:20" s="190" customFormat="1" x14ac:dyDescent="0.25">
      <c r="B72" s="116" t="s">
        <v>93</v>
      </c>
      <c r="C72" s="120" t="s">
        <v>94</v>
      </c>
      <c r="D72" s="121"/>
      <c r="E72" s="121"/>
      <c r="F72" s="121"/>
      <c r="G72" s="122"/>
      <c r="H72" s="122"/>
      <c r="I72" s="72" t="s">
        <v>95</v>
      </c>
      <c r="J72" s="72" t="s">
        <v>95</v>
      </c>
      <c r="K72" s="72" t="s">
        <v>95</v>
      </c>
      <c r="L72" s="72" t="s">
        <v>95</v>
      </c>
      <c r="M72" s="72" t="s">
        <v>95</v>
      </c>
      <c r="N72" s="72" t="s">
        <v>95</v>
      </c>
      <c r="O72" s="72" t="s">
        <v>95</v>
      </c>
      <c r="P72" s="72" t="s">
        <v>95</v>
      </c>
      <c r="Q72" s="72" t="s">
        <v>95</v>
      </c>
      <c r="R72" s="72" t="s">
        <v>95</v>
      </c>
      <c r="S72" s="113"/>
      <c r="T72" s="113"/>
    </row>
    <row r="73" spans="2:20" s="190" customFormat="1" ht="24.75" x14ac:dyDescent="0.25">
      <c r="B73" s="116" t="s">
        <v>96</v>
      </c>
      <c r="C73" s="120" t="s">
        <v>97</v>
      </c>
      <c r="D73" s="121"/>
      <c r="E73" s="121"/>
      <c r="F73" s="121"/>
      <c r="G73" s="122"/>
      <c r="H73" s="122"/>
      <c r="I73" s="72" t="str" cm="1">
        <f t="array" ref="I73">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73" s="72" t="str" cm="1">
        <f t="array" ref="J73">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73" s="72" t="str" cm="1">
        <f t="array" ref="K73">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73" s="72" t="str" cm="1">
        <f t="array" ref="L73">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73" s="72" t="str" cm="1">
        <f t="array" ref="M73">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73" s="72" t="str" cm="1">
        <f t="array" ref="N73">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73" s="72" t="str" cm="1">
        <f t="array" ref="O73">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73" s="72" t="str" cm="1">
        <f t="array" ref="P73">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73" s="72" t="str" cm="1">
        <f t="array" ref="Q73">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73" s="72" t="str" cm="1">
        <f t="array" ref="R73">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73" s="113"/>
      <c r="T73" s="113"/>
    </row>
    <row r="74" spans="2:20" s="190" customFormat="1" ht="24.75" x14ac:dyDescent="0.25">
      <c r="B74" s="116" t="s">
        <v>98</v>
      </c>
      <c r="C74" s="120" t="s">
        <v>99</v>
      </c>
      <c r="D74" s="121"/>
      <c r="E74" s="121"/>
      <c r="F74" s="121"/>
      <c r="G74" s="122"/>
      <c r="H74" s="122"/>
      <c r="I74" s="72" t="str" cm="1">
        <f t="array" ref="I74">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74" s="72" t="str" cm="1">
        <f t="array" ref="J74">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74" s="72" t="str" cm="1">
        <f t="array" ref="K74">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74" s="72" t="str" cm="1">
        <f t="array" ref="L74">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74" s="72" t="str" cm="1">
        <f t="array" ref="M74">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74" s="72" t="str" cm="1">
        <f t="array" ref="N74">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74" s="72" t="str" cm="1">
        <f t="array" ref="O74">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74" s="72" t="str" cm="1">
        <f t="array" ref="P74">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74" s="72" t="str" cm="1">
        <f t="array" ref="Q74">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74" s="72" t="str" cm="1">
        <f t="array" ref="R74">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74" s="113"/>
      <c r="T74" s="113"/>
    </row>
    <row r="75" spans="2:20" s="190" customFormat="1" ht="24.75" x14ac:dyDescent="0.25">
      <c r="B75" s="116" t="s">
        <v>100</v>
      </c>
      <c r="C75" s="120" t="s">
        <v>101</v>
      </c>
      <c r="D75" s="121"/>
      <c r="E75" s="121"/>
      <c r="F75" s="121"/>
      <c r="G75" s="122"/>
      <c r="H75" s="122"/>
      <c r="I75" s="72" t="str" cm="1">
        <f t="array" ref="I75">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75" s="72" t="str" cm="1">
        <f t="array" ref="J75">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75" s="72" t="str" cm="1">
        <f t="array" ref="K75">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75" s="72" t="str" cm="1">
        <f t="array" ref="L75">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75" s="72" t="str" cm="1">
        <f t="array" ref="M75">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75" s="72" t="str" cm="1">
        <f t="array" ref="N75">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75" s="72" t="str" cm="1">
        <f t="array" ref="O75">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75" s="72" t="str" cm="1">
        <f t="array" ref="P75">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75" s="72" t="str" cm="1">
        <f t="array" ref="Q75">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75" s="72" t="str" cm="1">
        <f t="array" ref="R75">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75" s="113"/>
      <c r="T75" s="113"/>
    </row>
    <row r="76" spans="2:20" s="190" customFormat="1" x14ac:dyDescent="0.25">
      <c r="B76" s="116" t="s">
        <v>102</v>
      </c>
      <c r="C76" s="124" t="s">
        <v>103</v>
      </c>
      <c r="D76" s="121"/>
      <c r="E76" s="121"/>
      <c r="F76" s="121"/>
      <c r="G76" s="122"/>
      <c r="H76" s="122"/>
      <c r="I76" s="183">
        <f>IF(IF(I72=$I$238,I73,IF(I72=$I$239,I73*I74,IF(I72=$I$240,I73*I74*I75,1)))=0,"Fyll i 2.6-2.8",IF(I72=$I$238,I73,IF(I72=$I$239,I73*I74,IF(I72=$I$240,I73*I74*I75,1))))</f>
        <v>1</v>
      </c>
      <c r="J76" s="183">
        <f t="shared" ref="J76:R76" si="4">IF(IF(J72=$I$238,J73,IF(J72=$I$239,J73*J74,IF(J72=$I$240,J73*J74*J75,1)))=0,"Fyll i 2.6-2.8",IF(J72=$I$238,J73,IF(J72=$I$239,J73*J74,IF(J72=$I$240,J73*J74*J75,1))))</f>
        <v>1</v>
      </c>
      <c r="K76" s="183">
        <f t="shared" si="4"/>
        <v>1</v>
      </c>
      <c r="L76" s="183">
        <f t="shared" si="4"/>
        <v>1</v>
      </c>
      <c r="M76" s="183">
        <f t="shared" si="4"/>
        <v>1</v>
      </c>
      <c r="N76" s="183">
        <f t="shared" si="4"/>
        <v>1</v>
      </c>
      <c r="O76" s="183">
        <f t="shared" si="4"/>
        <v>1</v>
      </c>
      <c r="P76" s="183">
        <f t="shared" si="4"/>
        <v>1</v>
      </c>
      <c r="Q76" s="183">
        <f t="shared" si="4"/>
        <v>1</v>
      </c>
      <c r="R76" s="183">
        <f t="shared" si="4"/>
        <v>1</v>
      </c>
      <c r="S76" s="113"/>
      <c r="T76" s="113"/>
    </row>
    <row r="77" spans="2:20" s="190" customFormat="1" x14ac:dyDescent="0.25">
      <c r="B77" s="116" t="s">
        <v>104</v>
      </c>
      <c r="C77" s="120" t="s">
        <v>105</v>
      </c>
      <c r="D77" s="121"/>
      <c r="E77" s="121"/>
      <c r="F77" s="121"/>
      <c r="G77" s="122"/>
      <c r="H77" s="122" t="s">
        <v>106</v>
      </c>
      <c r="I77" s="72"/>
      <c r="J77" s="72"/>
      <c r="K77" s="72"/>
      <c r="L77" s="72"/>
      <c r="M77" s="72"/>
      <c r="N77" s="72"/>
      <c r="O77" s="72"/>
      <c r="P77" s="72"/>
      <c r="Q77" s="72"/>
      <c r="R77" s="72"/>
      <c r="S77" s="113"/>
      <c r="T77" s="113"/>
    </row>
    <row r="78" spans="2:20" s="190" customFormat="1" x14ac:dyDescent="0.25">
      <c r="B78" s="116"/>
      <c r="C78" s="123"/>
      <c r="D78" s="123"/>
      <c r="E78" s="123"/>
      <c r="F78" s="123"/>
      <c r="G78" s="123"/>
      <c r="H78" s="123"/>
      <c r="I78" s="197"/>
      <c r="J78" s="197"/>
      <c r="K78" s="197"/>
      <c r="L78" s="197"/>
      <c r="M78" s="197"/>
      <c r="N78" s="197"/>
      <c r="O78" s="197"/>
      <c r="P78" s="197"/>
      <c r="Q78" s="197"/>
      <c r="R78" s="197"/>
      <c r="S78" s="113"/>
      <c r="T78" s="113"/>
    </row>
    <row r="79" spans="2:20" s="190" customFormat="1" x14ac:dyDescent="0.25">
      <c r="B79" s="116"/>
      <c r="C79" s="115" t="s">
        <v>110</v>
      </c>
      <c r="D79" s="123"/>
      <c r="E79" s="123"/>
      <c r="F79" s="123"/>
      <c r="G79" s="123"/>
      <c r="H79" s="123"/>
      <c r="I79" s="197"/>
      <c r="J79" s="197"/>
      <c r="K79" s="197"/>
      <c r="L79" s="197"/>
      <c r="M79" s="197"/>
      <c r="N79" s="197"/>
      <c r="O79" s="197"/>
      <c r="P79" s="197"/>
      <c r="Q79" s="197"/>
      <c r="R79" s="197"/>
      <c r="S79" s="113"/>
      <c r="T79" s="113"/>
    </row>
    <row r="80" spans="2:20" s="190" customFormat="1" x14ac:dyDescent="0.25">
      <c r="B80" s="116" t="s">
        <v>83</v>
      </c>
      <c r="C80" s="120" t="s">
        <v>84</v>
      </c>
      <c r="D80" s="121"/>
      <c r="E80" s="121"/>
      <c r="F80" s="121"/>
      <c r="G80" s="122"/>
      <c r="H80" s="122" t="s">
        <v>78</v>
      </c>
      <c r="I80" s="72"/>
      <c r="J80" s="72"/>
      <c r="K80" s="72"/>
      <c r="L80" s="72"/>
      <c r="M80" s="72"/>
      <c r="N80" s="72"/>
      <c r="O80" s="72"/>
      <c r="P80" s="72"/>
      <c r="Q80" s="72"/>
      <c r="R80" s="72"/>
      <c r="S80" s="113"/>
      <c r="T80" s="113"/>
    </row>
    <row r="81" spans="2:20" s="190" customFormat="1" x14ac:dyDescent="0.25">
      <c r="B81" s="116" t="s">
        <v>85</v>
      </c>
      <c r="C81" s="120" t="s">
        <v>86</v>
      </c>
      <c r="D81" s="121"/>
      <c r="E81" s="121"/>
      <c r="F81" s="121"/>
      <c r="G81" s="122"/>
      <c r="H81" s="122" t="s">
        <v>87</v>
      </c>
      <c r="I81" s="72"/>
      <c r="J81" s="72"/>
      <c r="K81" s="72"/>
      <c r="L81" s="72"/>
      <c r="M81" s="72"/>
      <c r="N81" s="72"/>
      <c r="O81" s="72"/>
      <c r="P81" s="72"/>
      <c r="Q81" s="72"/>
      <c r="R81" s="72"/>
      <c r="S81" s="113"/>
      <c r="T81" s="113"/>
    </row>
    <row r="82" spans="2:20" s="190" customFormat="1" x14ac:dyDescent="0.25">
      <c r="B82" s="116" t="s">
        <v>88</v>
      </c>
      <c r="C82" s="120" t="s">
        <v>89</v>
      </c>
      <c r="D82" s="121"/>
      <c r="E82" s="121"/>
      <c r="F82" s="121"/>
      <c r="G82" s="122"/>
      <c r="H82" s="122" t="s">
        <v>87</v>
      </c>
      <c r="I82" s="72"/>
      <c r="J82" s="72"/>
      <c r="K82" s="72"/>
      <c r="L82" s="72"/>
      <c r="M82" s="72"/>
      <c r="N82" s="72"/>
      <c r="O82" s="72"/>
      <c r="P82" s="72"/>
      <c r="Q82" s="72"/>
      <c r="R82" s="72"/>
      <c r="S82" s="113"/>
      <c r="T82" s="113"/>
    </row>
    <row r="83" spans="2:20" s="190" customFormat="1" x14ac:dyDescent="0.25">
      <c r="B83" s="116" t="s">
        <v>90</v>
      </c>
      <c r="C83" s="120" t="s">
        <v>91</v>
      </c>
      <c r="D83" s="121"/>
      <c r="E83" s="121"/>
      <c r="F83" s="121"/>
      <c r="G83" s="122"/>
      <c r="H83" s="122" t="s">
        <v>92</v>
      </c>
      <c r="I83" s="72"/>
      <c r="J83" s="72"/>
      <c r="K83" s="72"/>
      <c r="L83" s="72"/>
      <c r="M83" s="72"/>
      <c r="N83" s="72"/>
      <c r="O83" s="72"/>
      <c r="P83" s="72"/>
      <c r="Q83" s="72"/>
      <c r="R83" s="72"/>
      <c r="S83" s="113"/>
      <c r="T83" s="113"/>
    </row>
    <row r="84" spans="2:20" s="198" customFormat="1" x14ac:dyDescent="0.25">
      <c r="B84" s="125" t="s">
        <v>93</v>
      </c>
      <c r="C84" s="120" t="s">
        <v>94</v>
      </c>
      <c r="D84" s="126"/>
      <c r="E84" s="126"/>
      <c r="F84" s="126"/>
      <c r="G84" s="127"/>
      <c r="H84" s="127"/>
      <c r="I84" s="72" t="s">
        <v>95</v>
      </c>
      <c r="J84" s="72" t="s">
        <v>95</v>
      </c>
      <c r="K84" s="72" t="s">
        <v>95</v>
      </c>
      <c r="L84" s="72" t="s">
        <v>95</v>
      </c>
      <c r="M84" s="72" t="s">
        <v>95</v>
      </c>
      <c r="N84" s="72" t="s">
        <v>95</v>
      </c>
      <c r="O84" s="72" t="s">
        <v>95</v>
      </c>
      <c r="P84" s="72" t="s">
        <v>95</v>
      </c>
      <c r="Q84" s="72" t="s">
        <v>95</v>
      </c>
      <c r="R84" s="72" t="s">
        <v>95</v>
      </c>
      <c r="S84" s="113"/>
      <c r="T84" s="113"/>
    </row>
    <row r="85" spans="2:20" s="190" customFormat="1" ht="24.75" x14ac:dyDescent="0.25">
      <c r="B85" s="116" t="s">
        <v>96</v>
      </c>
      <c r="C85" s="120" t="s">
        <v>97</v>
      </c>
      <c r="D85" s="121"/>
      <c r="E85" s="121"/>
      <c r="F85" s="121"/>
      <c r="G85" s="122"/>
      <c r="H85" s="122"/>
      <c r="I85" s="72" t="str" cm="1">
        <f t="array" ref="I85">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85" s="72" t="str" cm="1">
        <f t="array" ref="J85">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85" s="72" t="str" cm="1">
        <f t="array" ref="K85">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85" s="72" t="str" cm="1">
        <f t="array" ref="L85">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85" s="72" t="str" cm="1">
        <f t="array" ref="M85">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85" s="72" t="str" cm="1">
        <f t="array" ref="N85">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85" s="72" t="str" cm="1">
        <f t="array" ref="O85">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85" s="72" t="str" cm="1">
        <f t="array" ref="P85">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85" s="72" t="str" cm="1">
        <f t="array" ref="Q85">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85" s="72" t="str" cm="1">
        <f t="array" ref="R85">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85" s="113"/>
      <c r="T85" s="113"/>
    </row>
    <row r="86" spans="2:20" s="190" customFormat="1" ht="24.75" x14ac:dyDescent="0.25">
      <c r="B86" s="116" t="s">
        <v>98</v>
      </c>
      <c r="C86" s="120" t="s">
        <v>99</v>
      </c>
      <c r="D86" s="121"/>
      <c r="E86" s="121"/>
      <c r="F86" s="121"/>
      <c r="G86" s="122"/>
      <c r="H86" s="122"/>
      <c r="I86" s="72" t="str" cm="1">
        <f t="array" ref="I86">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86" s="72" t="str" cm="1">
        <f t="array" ref="J86">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86" s="72" t="str" cm="1">
        <f t="array" ref="K86">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86" s="72" t="str" cm="1">
        <f t="array" ref="L86">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86" s="72" t="str" cm="1">
        <f t="array" ref="M86">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86" s="72" t="str" cm="1">
        <f t="array" ref="N86">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86" s="72" t="str" cm="1">
        <f t="array" ref="O86">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86" s="72" t="str" cm="1">
        <f t="array" ref="P86">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86" s="72" t="str" cm="1">
        <f t="array" ref="Q86">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86" s="72" t="str" cm="1">
        <f t="array" ref="R86">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86" s="113"/>
      <c r="T86" s="113"/>
    </row>
    <row r="87" spans="2:20" s="190" customFormat="1" ht="24.75" x14ac:dyDescent="0.25">
      <c r="B87" s="116" t="s">
        <v>100</v>
      </c>
      <c r="C87" s="120" t="s">
        <v>101</v>
      </c>
      <c r="D87" s="121"/>
      <c r="E87" s="121"/>
      <c r="F87" s="121"/>
      <c r="G87" s="122"/>
      <c r="H87" s="122"/>
      <c r="I87" s="72" t="str" cm="1">
        <f t="array" ref="I87">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87" s="72" t="str" cm="1">
        <f t="array" ref="J87">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87" s="72" t="str" cm="1">
        <f t="array" ref="K87">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87" s="72" t="str" cm="1">
        <f t="array" ref="L87">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87" s="72" t="str" cm="1">
        <f t="array" ref="M87">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87" s="72" t="str" cm="1">
        <f t="array" ref="N87">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87" s="72" t="str" cm="1">
        <f t="array" ref="O87">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87" s="72" t="str" cm="1">
        <f t="array" ref="P87">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87" s="72" t="str" cm="1">
        <f t="array" ref="Q87">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87" s="72" t="str" cm="1">
        <f t="array" ref="R87">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87" s="113"/>
      <c r="T87" s="113"/>
    </row>
    <row r="88" spans="2:20" s="190" customFormat="1" x14ac:dyDescent="0.25">
      <c r="B88" s="116" t="s">
        <v>102</v>
      </c>
      <c r="C88" s="124" t="s">
        <v>103</v>
      </c>
      <c r="D88" s="121"/>
      <c r="E88" s="121"/>
      <c r="F88" s="121"/>
      <c r="G88" s="122"/>
      <c r="H88" s="122"/>
      <c r="I88" s="183">
        <f>IF(IF(I84=$I$238,I85,IF(I84=$I$239,I85*I86,IF(I84=$I$240,I85*I86*I87,1)))=0,"Fyll i 2.6-2.8",IF(I84=$I$238,I85,IF(I84=$I$239,I85*I86,IF(I84=$I$240,I85*I86*I87,1))))</f>
        <v>1</v>
      </c>
      <c r="J88" s="183">
        <f t="shared" ref="J88:R88" si="5">IF(IF(J84=$I$238,J85,IF(J84=$I$239,J85*J86,IF(J84=$I$240,J85*J86*J87,1)))=0,"Fyll i 2.6-2.8",IF(J84=$I$238,J85,IF(J84=$I$239,J85*J86,IF(J84=$I$240,J85*J86*J87,1))))</f>
        <v>1</v>
      </c>
      <c r="K88" s="183">
        <f t="shared" si="5"/>
        <v>1</v>
      </c>
      <c r="L88" s="183">
        <f t="shared" si="5"/>
        <v>1</v>
      </c>
      <c r="M88" s="183">
        <f t="shared" si="5"/>
        <v>1</v>
      </c>
      <c r="N88" s="183">
        <f t="shared" si="5"/>
        <v>1</v>
      </c>
      <c r="O88" s="183">
        <f t="shared" si="5"/>
        <v>1</v>
      </c>
      <c r="P88" s="183">
        <f t="shared" si="5"/>
        <v>1</v>
      </c>
      <c r="Q88" s="183">
        <f t="shared" si="5"/>
        <v>1</v>
      </c>
      <c r="R88" s="183">
        <f t="shared" si="5"/>
        <v>1</v>
      </c>
      <c r="S88" s="113"/>
      <c r="T88" s="113"/>
    </row>
    <row r="89" spans="2:20" s="190" customFormat="1" x14ac:dyDescent="0.25">
      <c r="B89" s="116" t="s">
        <v>104</v>
      </c>
      <c r="C89" s="120" t="s">
        <v>105</v>
      </c>
      <c r="D89" s="121"/>
      <c r="E89" s="121"/>
      <c r="F89" s="121"/>
      <c r="G89" s="122"/>
      <c r="H89" s="122" t="s">
        <v>106</v>
      </c>
      <c r="I89" s="72"/>
      <c r="J89" s="72"/>
      <c r="K89" s="72"/>
      <c r="L89" s="72"/>
      <c r="M89" s="72"/>
      <c r="N89" s="72"/>
      <c r="O89" s="72"/>
      <c r="P89" s="72"/>
      <c r="Q89" s="72"/>
      <c r="R89" s="72"/>
      <c r="S89" s="113"/>
      <c r="T89" s="113"/>
    </row>
    <row r="90" spans="2:20" s="190" customFormat="1" x14ac:dyDescent="0.25">
      <c r="B90" s="116"/>
      <c r="C90" s="123"/>
      <c r="D90" s="123"/>
      <c r="E90" s="123"/>
      <c r="F90" s="123"/>
      <c r="G90" s="123"/>
      <c r="H90" s="123"/>
      <c r="I90" s="197"/>
      <c r="J90" s="197"/>
      <c r="K90" s="197"/>
      <c r="L90" s="197"/>
      <c r="M90" s="197"/>
      <c r="N90" s="197"/>
      <c r="O90" s="197"/>
      <c r="P90" s="197"/>
      <c r="Q90" s="197"/>
      <c r="R90" s="197"/>
      <c r="S90" s="113"/>
      <c r="T90" s="113"/>
    </row>
    <row r="91" spans="2:20" s="190" customFormat="1" x14ac:dyDescent="0.25">
      <c r="B91" s="116"/>
      <c r="C91" s="115" t="s">
        <v>111</v>
      </c>
      <c r="D91" s="123"/>
      <c r="E91" s="123"/>
      <c r="F91" s="123"/>
      <c r="G91" s="123"/>
      <c r="H91" s="123"/>
      <c r="I91" s="197"/>
      <c r="J91" s="197"/>
      <c r="K91" s="197"/>
      <c r="L91" s="197"/>
      <c r="M91" s="197"/>
      <c r="N91" s="197"/>
      <c r="O91" s="197"/>
      <c r="P91" s="197"/>
      <c r="Q91" s="197"/>
      <c r="R91" s="197"/>
      <c r="S91" s="113"/>
      <c r="T91" s="113"/>
    </row>
    <row r="92" spans="2:20" s="190" customFormat="1" x14ac:dyDescent="0.25">
      <c r="B92" s="116" t="s">
        <v>83</v>
      </c>
      <c r="C92" s="120" t="s">
        <v>84</v>
      </c>
      <c r="D92" s="121"/>
      <c r="E92" s="121"/>
      <c r="F92" s="121"/>
      <c r="G92" s="122"/>
      <c r="H92" s="122" t="s">
        <v>78</v>
      </c>
      <c r="I92" s="72"/>
      <c r="J92" s="72"/>
      <c r="K92" s="72"/>
      <c r="L92" s="72"/>
      <c r="M92" s="72"/>
      <c r="N92" s="72"/>
      <c r="O92" s="72"/>
      <c r="P92" s="72"/>
      <c r="Q92" s="72"/>
      <c r="R92" s="72"/>
      <c r="S92" s="113"/>
      <c r="T92" s="113"/>
    </row>
    <row r="93" spans="2:20" s="190" customFormat="1" x14ac:dyDescent="0.25">
      <c r="B93" s="116" t="s">
        <v>85</v>
      </c>
      <c r="C93" s="120" t="s">
        <v>86</v>
      </c>
      <c r="D93" s="121"/>
      <c r="E93" s="121"/>
      <c r="F93" s="121"/>
      <c r="G93" s="122"/>
      <c r="H93" s="122" t="s">
        <v>87</v>
      </c>
      <c r="I93" s="72"/>
      <c r="J93" s="72"/>
      <c r="K93" s="72"/>
      <c r="L93" s="72"/>
      <c r="M93" s="72"/>
      <c r="N93" s="72"/>
      <c r="O93" s="72"/>
      <c r="P93" s="72"/>
      <c r="Q93" s="72"/>
      <c r="R93" s="72"/>
      <c r="S93" s="113"/>
      <c r="T93" s="113"/>
    </row>
    <row r="94" spans="2:20" s="190" customFormat="1" x14ac:dyDescent="0.25">
      <c r="B94" s="116" t="s">
        <v>88</v>
      </c>
      <c r="C94" s="120" t="s">
        <v>89</v>
      </c>
      <c r="D94" s="121"/>
      <c r="E94" s="121"/>
      <c r="F94" s="121"/>
      <c r="G94" s="122"/>
      <c r="H94" s="122" t="s">
        <v>87</v>
      </c>
      <c r="I94" s="72"/>
      <c r="J94" s="72"/>
      <c r="K94" s="72"/>
      <c r="L94" s="72"/>
      <c r="M94" s="72"/>
      <c r="N94" s="72"/>
      <c r="O94" s="72"/>
      <c r="P94" s="72"/>
      <c r="Q94" s="72"/>
      <c r="R94" s="72"/>
      <c r="S94" s="113"/>
      <c r="T94" s="113"/>
    </row>
    <row r="95" spans="2:20" s="190" customFormat="1" x14ac:dyDescent="0.25">
      <c r="B95" s="116" t="s">
        <v>90</v>
      </c>
      <c r="C95" s="120" t="s">
        <v>91</v>
      </c>
      <c r="D95" s="121"/>
      <c r="E95" s="121"/>
      <c r="F95" s="121"/>
      <c r="G95" s="122"/>
      <c r="H95" s="122" t="s">
        <v>92</v>
      </c>
      <c r="I95" s="72"/>
      <c r="J95" s="72"/>
      <c r="K95" s="72"/>
      <c r="L95" s="72"/>
      <c r="M95" s="72"/>
      <c r="N95" s="72"/>
      <c r="O95" s="72"/>
      <c r="P95" s="72"/>
      <c r="Q95" s="72"/>
      <c r="R95" s="72"/>
      <c r="S95" s="113"/>
      <c r="T95" s="113"/>
    </row>
    <row r="96" spans="2:20" s="198" customFormat="1" x14ac:dyDescent="0.25">
      <c r="B96" s="125" t="s">
        <v>93</v>
      </c>
      <c r="C96" s="120" t="s">
        <v>94</v>
      </c>
      <c r="D96" s="126"/>
      <c r="E96" s="126"/>
      <c r="F96" s="126"/>
      <c r="G96" s="127"/>
      <c r="H96" s="127"/>
      <c r="I96" s="72" t="s">
        <v>95</v>
      </c>
      <c r="J96" s="72" t="s">
        <v>95</v>
      </c>
      <c r="K96" s="72" t="s">
        <v>95</v>
      </c>
      <c r="L96" s="72" t="s">
        <v>95</v>
      </c>
      <c r="M96" s="72" t="s">
        <v>95</v>
      </c>
      <c r="N96" s="72" t="s">
        <v>95</v>
      </c>
      <c r="O96" s="72" t="s">
        <v>95</v>
      </c>
      <c r="P96" s="72" t="s">
        <v>95</v>
      </c>
      <c r="Q96" s="72" t="s">
        <v>95</v>
      </c>
      <c r="R96" s="72" t="s">
        <v>95</v>
      </c>
      <c r="S96" s="113"/>
      <c r="T96" s="113"/>
    </row>
    <row r="97" spans="2:20" s="190" customFormat="1" ht="24.75" x14ac:dyDescent="0.25">
      <c r="B97" s="116" t="s">
        <v>96</v>
      </c>
      <c r="C97" s="120" t="s">
        <v>97</v>
      </c>
      <c r="D97" s="121"/>
      <c r="E97" s="121"/>
      <c r="F97" s="121"/>
      <c r="G97" s="122"/>
      <c r="H97" s="122"/>
      <c r="I97" s="72" t="str" cm="1">
        <f t="array" ref="I97">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97" s="72" t="str" cm="1">
        <f t="array" ref="J97">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97" s="72" t="str" cm="1">
        <f t="array" ref="K97">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97" s="72" t="str" cm="1">
        <f t="array" ref="L97">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97" s="72" t="str" cm="1">
        <f t="array" ref="M97">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97" s="72" t="str" cm="1">
        <f t="array" ref="N97">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97" s="72" t="str" cm="1">
        <f t="array" ref="O97">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97" s="72" t="str" cm="1">
        <f t="array" ref="P97">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97" s="72" t="str" cm="1">
        <f t="array" ref="Q97">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97" s="72" t="str" cm="1">
        <f t="array" ref="R97">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97" s="113"/>
      <c r="T97" s="113"/>
    </row>
    <row r="98" spans="2:20" s="190" customFormat="1" ht="24.75" x14ac:dyDescent="0.25">
      <c r="B98" s="116" t="s">
        <v>98</v>
      </c>
      <c r="C98" s="120" t="s">
        <v>99</v>
      </c>
      <c r="D98" s="121"/>
      <c r="E98" s="121"/>
      <c r="F98" s="121"/>
      <c r="G98" s="122"/>
      <c r="H98" s="122"/>
      <c r="I98" s="72" t="str" cm="1">
        <f t="array" ref="I98">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98" s="72" t="str" cm="1">
        <f t="array" ref="J98">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98" s="72" t="str" cm="1">
        <f t="array" ref="K98">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98" s="72" t="str" cm="1">
        <f t="array" ref="L98">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98" s="72" t="str" cm="1">
        <f t="array" ref="M98">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98" s="72" t="str" cm="1">
        <f t="array" ref="N98">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98" s="72" t="str" cm="1">
        <f t="array" ref="O98">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98" s="72" t="str" cm="1">
        <f t="array" ref="P98">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98" s="72" t="str" cm="1">
        <f t="array" ref="Q98">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98" s="72" t="str" cm="1">
        <f t="array" ref="R98">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98" s="113"/>
      <c r="T98" s="113"/>
    </row>
    <row r="99" spans="2:20" s="190" customFormat="1" ht="24.75" x14ac:dyDescent="0.25">
      <c r="B99" s="116" t="s">
        <v>100</v>
      </c>
      <c r="C99" s="120" t="s">
        <v>101</v>
      </c>
      <c r="D99" s="121"/>
      <c r="E99" s="121"/>
      <c r="F99" s="121"/>
      <c r="G99" s="122"/>
      <c r="H99" s="122"/>
      <c r="I99" s="72" t="str" cm="1">
        <f t="array" ref="I99">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99" s="72" t="str" cm="1">
        <f t="array" ref="J99">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99" s="72" t="str" cm="1">
        <f t="array" ref="K99">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99" s="72" t="str" cm="1">
        <f t="array" ref="L99">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99" s="72" t="str" cm="1">
        <f t="array" ref="M99">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99" s="72" t="str" cm="1">
        <f t="array" ref="N99">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99" s="72" t="str" cm="1">
        <f t="array" ref="O99">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99" s="72" t="str" cm="1">
        <f t="array" ref="P99">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99" s="72" t="str" cm="1">
        <f t="array" ref="Q99">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99" s="72" t="str" cm="1">
        <f t="array" ref="R99">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99" s="113"/>
      <c r="T99" s="113"/>
    </row>
    <row r="100" spans="2:20" s="190" customFormat="1" x14ac:dyDescent="0.25">
      <c r="B100" s="116" t="s">
        <v>102</v>
      </c>
      <c r="C100" s="124" t="s">
        <v>103</v>
      </c>
      <c r="D100" s="121"/>
      <c r="E100" s="121"/>
      <c r="F100" s="121"/>
      <c r="G100" s="122"/>
      <c r="H100" s="122"/>
      <c r="I100" s="183">
        <f>IF(IF(I96=$I$238,I97,IF(I96=$I$239,I97*I98,IF(I96=$I$240,I97*I98*I99,1)))=0,"Fyll i 2.6-2.8",IF(I96=$I$238,I97,IF(I96=$I$239,I97*I98,IF(I96=$I$240,I97*I98*I99,1))))</f>
        <v>1</v>
      </c>
      <c r="J100" s="183">
        <f t="shared" ref="J100:R100" si="6">IF(IF(J96=$I$238,J97,IF(J96=$I$239,J97*J98,IF(J96=$I$240,J97*J98*J99,1)))=0,"Fyll i 2.6-2.8",IF(J96=$I$238,J97,IF(J96=$I$239,J97*J98,IF(J96=$I$240,J97*J98*J99,1))))</f>
        <v>1</v>
      </c>
      <c r="K100" s="183">
        <f t="shared" si="6"/>
        <v>1</v>
      </c>
      <c r="L100" s="183">
        <f t="shared" si="6"/>
        <v>1</v>
      </c>
      <c r="M100" s="183">
        <f t="shared" si="6"/>
        <v>1</v>
      </c>
      <c r="N100" s="183">
        <f t="shared" si="6"/>
        <v>1</v>
      </c>
      <c r="O100" s="183">
        <f t="shared" si="6"/>
        <v>1</v>
      </c>
      <c r="P100" s="183">
        <f t="shared" si="6"/>
        <v>1</v>
      </c>
      <c r="Q100" s="183">
        <f t="shared" si="6"/>
        <v>1</v>
      </c>
      <c r="R100" s="183">
        <f t="shared" si="6"/>
        <v>1</v>
      </c>
      <c r="S100" s="113"/>
      <c r="T100" s="113"/>
    </row>
    <row r="101" spans="2:20" s="190" customFormat="1" x14ac:dyDescent="0.25">
      <c r="B101" s="116" t="s">
        <v>104</v>
      </c>
      <c r="C101" s="120" t="s">
        <v>105</v>
      </c>
      <c r="D101" s="121"/>
      <c r="E101" s="121"/>
      <c r="F101" s="121"/>
      <c r="G101" s="122"/>
      <c r="H101" s="122" t="s">
        <v>106</v>
      </c>
      <c r="I101" s="72"/>
      <c r="J101" s="72"/>
      <c r="K101" s="72"/>
      <c r="L101" s="72"/>
      <c r="M101" s="72"/>
      <c r="N101" s="72"/>
      <c r="O101" s="72"/>
      <c r="P101" s="72"/>
      <c r="Q101" s="72"/>
      <c r="R101" s="72"/>
      <c r="S101" s="113"/>
      <c r="T101" s="113"/>
    </row>
    <row r="102" spans="2:20" s="190" customFormat="1" x14ac:dyDescent="0.25">
      <c r="B102" s="116"/>
      <c r="C102" s="123"/>
      <c r="D102" s="123"/>
      <c r="E102" s="123"/>
      <c r="F102" s="123"/>
      <c r="G102" s="123"/>
      <c r="H102" s="123"/>
      <c r="I102" s="197"/>
      <c r="J102" s="197"/>
      <c r="K102" s="197"/>
      <c r="L102" s="197"/>
      <c r="M102" s="197"/>
      <c r="N102" s="197"/>
      <c r="O102" s="197"/>
      <c r="P102" s="197"/>
      <c r="Q102" s="197"/>
      <c r="R102" s="197"/>
      <c r="S102" s="113"/>
      <c r="T102" s="113"/>
    </row>
    <row r="103" spans="2:20" s="190" customFormat="1" x14ac:dyDescent="0.25">
      <c r="B103" s="116"/>
      <c r="C103" s="115" t="s">
        <v>112</v>
      </c>
      <c r="D103" s="123"/>
      <c r="E103" s="123"/>
      <c r="F103" s="123"/>
      <c r="G103" s="123"/>
      <c r="H103" s="123"/>
      <c r="I103" s="197"/>
      <c r="J103" s="197"/>
      <c r="K103" s="197"/>
      <c r="L103" s="197"/>
      <c r="M103" s="197"/>
      <c r="N103" s="197"/>
      <c r="O103" s="197"/>
      <c r="P103" s="197"/>
      <c r="Q103" s="197"/>
      <c r="R103" s="197"/>
      <c r="S103" s="113"/>
      <c r="T103" s="113"/>
    </row>
    <row r="104" spans="2:20" s="190" customFormat="1" x14ac:dyDescent="0.25">
      <c r="B104" s="116" t="s">
        <v>83</v>
      </c>
      <c r="C104" s="120" t="s">
        <v>84</v>
      </c>
      <c r="D104" s="121"/>
      <c r="E104" s="121"/>
      <c r="F104" s="121"/>
      <c r="G104" s="122"/>
      <c r="H104" s="122" t="s">
        <v>78</v>
      </c>
      <c r="I104" s="72"/>
      <c r="J104" s="72"/>
      <c r="K104" s="72"/>
      <c r="L104" s="72"/>
      <c r="M104" s="72"/>
      <c r="N104" s="72"/>
      <c r="O104" s="72"/>
      <c r="P104" s="72"/>
      <c r="Q104" s="72"/>
      <c r="R104" s="72"/>
      <c r="S104" s="113"/>
      <c r="T104" s="113"/>
    </row>
    <row r="105" spans="2:20" s="190" customFormat="1" x14ac:dyDescent="0.25">
      <c r="B105" s="116" t="s">
        <v>85</v>
      </c>
      <c r="C105" s="120" t="s">
        <v>86</v>
      </c>
      <c r="D105" s="121"/>
      <c r="E105" s="121"/>
      <c r="F105" s="121"/>
      <c r="G105" s="122"/>
      <c r="H105" s="122" t="s">
        <v>87</v>
      </c>
      <c r="I105" s="72"/>
      <c r="J105" s="72"/>
      <c r="K105" s="72"/>
      <c r="L105" s="72"/>
      <c r="M105" s="72"/>
      <c r="N105" s="72"/>
      <c r="O105" s="72"/>
      <c r="P105" s="72"/>
      <c r="Q105" s="72"/>
      <c r="R105" s="72"/>
      <c r="S105" s="113"/>
      <c r="T105" s="113"/>
    </row>
    <row r="106" spans="2:20" s="190" customFormat="1" x14ac:dyDescent="0.25">
      <c r="B106" s="116" t="s">
        <v>88</v>
      </c>
      <c r="C106" s="120" t="s">
        <v>89</v>
      </c>
      <c r="D106" s="121"/>
      <c r="E106" s="121"/>
      <c r="F106" s="121"/>
      <c r="G106" s="122"/>
      <c r="H106" s="122" t="s">
        <v>87</v>
      </c>
      <c r="I106" s="72"/>
      <c r="J106" s="72"/>
      <c r="K106" s="72"/>
      <c r="L106" s="72"/>
      <c r="M106" s="72"/>
      <c r="N106" s="72"/>
      <c r="O106" s="72"/>
      <c r="P106" s="72"/>
      <c r="Q106" s="72"/>
      <c r="R106" s="72"/>
      <c r="S106" s="113"/>
      <c r="T106" s="113"/>
    </row>
    <row r="107" spans="2:20" s="190" customFormat="1" x14ac:dyDescent="0.25">
      <c r="B107" s="116" t="s">
        <v>90</v>
      </c>
      <c r="C107" s="120" t="s">
        <v>91</v>
      </c>
      <c r="D107" s="121"/>
      <c r="E107" s="121"/>
      <c r="F107" s="121"/>
      <c r="G107" s="122"/>
      <c r="H107" s="122" t="s">
        <v>92</v>
      </c>
      <c r="I107" s="72"/>
      <c r="J107" s="72"/>
      <c r="K107" s="72"/>
      <c r="L107" s="72"/>
      <c r="M107" s="72"/>
      <c r="N107" s="72"/>
      <c r="O107" s="72"/>
      <c r="P107" s="72"/>
      <c r="Q107" s="72"/>
      <c r="R107" s="72"/>
      <c r="S107" s="113"/>
      <c r="T107" s="113"/>
    </row>
    <row r="108" spans="2:20" s="198" customFormat="1" x14ac:dyDescent="0.25">
      <c r="B108" s="125" t="s">
        <v>93</v>
      </c>
      <c r="C108" s="120" t="s">
        <v>94</v>
      </c>
      <c r="D108" s="126"/>
      <c r="E108" s="126"/>
      <c r="F108" s="126"/>
      <c r="G108" s="127"/>
      <c r="H108" s="127"/>
      <c r="I108" s="72" t="s">
        <v>95</v>
      </c>
      <c r="J108" s="72" t="s">
        <v>95</v>
      </c>
      <c r="K108" s="72" t="s">
        <v>95</v>
      </c>
      <c r="L108" s="72" t="s">
        <v>95</v>
      </c>
      <c r="M108" s="72" t="s">
        <v>95</v>
      </c>
      <c r="N108" s="72" t="s">
        <v>95</v>
      </c>
      <c r="O108" s="72" t="s">
        <v>95</v>
      </c>
      <c r="P108" s="72" t="s">
        <v>95</v>
      </c>
      <c r="Q108" s="72" t="s">
        <v>95</v>
      </c>
      <c r="R108" s="72" t="s">
        <v>95</v>
      </c>
      <c r="S108" s="113"/>
      <c r="T108" s="113"/>
    </row>
    <row r="109" spans="2:20" s="190" customFormat="1" ht="24.75" x14ac:dyDescent="0.25">
      <c r="B109" s="116" t="s">
        <v>96</v>
      </c>
      <c r="C109" s="120" t="s">
        <v>97</v>
      </c>
      <c r="D109" s="121"/>
      <c r="E109" s="121"/>
      <c r="F109" s="121"/>
      <c r="G109" s="122"/>
      <c r="H109" s="122"/>
      <c r="I109" s="72" t="str" cm="1">
        <f t="array" ref="I109">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09" s="72" t="str" cm="1">
        <f t="array" ref="J109">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09" s="72" t="str" cm="1">
        <f t="array" ref="K109">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09" s="72" t="str" cm="1">
        <f t="array" ref="L109">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09" s="72" t="str" cm="1">
        <f t="array" ref="M109">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09" s="72" t="str" cm="1">
        <f t="array" ref="N109">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09" s="72" t="str" cm="1">
        <f t="array" ref="O109">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09" s="72" t="str" cm="1">
        <f t="array" ref="P109">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09" s="72" t="str" cm="1">
        <f t="array" ref="Q109">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09" s="72" t="str" cm="1">
        <f t="array" ref="R109">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09" s="113"/>
      <c r="T109" s="113"/>
    </row>
    <row r="110" spans="2:20" s="190" customFormat="1" ht="24.75" x14ac:dyDescent="0.25">
      <c r="B110" s="116" t="s">
        <v>98</v>
      </c>
      <c r="C110" s="120" t="s">
        <v>99</v>
      </c>
      <c r="D110" s="121"/>
      <c r="E110" s="121"/>
      <c r="F110" s="121"/>
      <c r="G110" s="122"/>
      <c r="H110" s="122"/>
      <c r="I110" s="72" t="str" cm="1">
        <f t="array" ref="I110">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10" s="72" t="str" cm="1">
        <f t="array" ref="J110">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10" s="72" t="str" cm="1">
        <f t="array" ref="K110">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10" s="72" t="str" cm="1">
        <f t="array" ref="L110">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10" s="72" t="str" cm="1">
        <f t="array" ref="M110">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10" s="72" t="str" cm="1">
        <f t="array" ref="N110">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10" s="72" t="str" cm="1">
        <f t="array" ref="O110">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10" s="72" t="str" cm="1">
        <f t="array" ref="P110">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10" s="72" t="str" cm="1">
        <f t="array" ref="Q110">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10" s="72" t="str" cm="1">
        <f t="array" ref="R110">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10" s="113"/>
      <c r="T110" s="113"/>
    </row>
    <row r="111" spans="2:20" s="190" customFormat="1" ht="24.75" x14ac:dyDescent="0.25">
      <c r="B111" s="116" t="s">
        <v>100</v>
      </c>
      <c r="C111" s="120" t="s">
        <v>101</v>
      </c>
      <c r="D111" s="121"/>
      <c r="E111" s="121"/>
      <c r="F111" s="121"/>
      <c r="G111" s="122"/>
      <c r="H111" s="122"/>
      <c r="I111" s="72" t="str" cm="1">
        <f t="array" ref="I111">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11" s="72" t="str" cm="1">
        <f t="array" ref="J111">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11" s="72" t="str" cm="1">
        <f t="array" ref="K111">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11" s="72" t="str" cm="1">
        <f t="array" ref="L111">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11" s="72" t="str" cm="1">
        <f t="array" ref="M111">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11" s="72" t="str" cm="1">
        <f t="array" ref="N111">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11" s="72" t="str" cm="1">
        <f t="array" ref="O111">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11" s="72" t="str" cm="1">
        <f t="array" ref="P111">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11" s="72" t="str" cm="1">
        <f t="array" ref="Q111">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11" s="72" t="str" cm="1">
        <f t="array" ref="R111">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11" s="113"/>
      <c r="T111" s="113"/>
    </row>
    <row r="112" spans="2:20" s="190" customFormat="1" x14ac:dyDescent="0.25">
      <c r="B112" s="116" t="s">
        <v>102</v>
      </c>
      <c r="C112" s="124" t="s">
        <v>103</v>
      </c>
      <c r="D112" s="121"/>
      <c r="E112" s="121"/>
      <c r="F112" s="121"/>
      <c r="G112" s="122"/>
      <c r="H112" s="122"/>
      <c r="I112" s="183">
        <f>IF(IF(I108=$I$238,I109,IF(I108=$I$239,I109*I110,IF(I108=$I$240,I109*I110*I111,1)))=0,"Fyll i 2.6-2.8",IF(I108=$I$238,I109,IF(I108=$I$239,I109*I110,IF(I108=$I$240,I109*I110*I111,1))))</f>
        <v>1</v>
      </c>
      <c r="J112" s="183">
        <f t="shared" ref="J112:R112" si="7">IF(IF(J108=$I$238,J109,IF(J108=$I$239,J109*J110,IF(J108=$I$240,J109*J110*J111,1)))=0,"Fyll i 2.6-2.8",IF(J108=$I$238,J109,IF(J108=$I$239,J109*J110,IF(J108=$I$240,J109*J110*J111,1))))</f>
        <v>1</v>
      </c>
      <c r="K112" s="183">
        <f t="shared" si="7"/>
        <v>1</v>
      </c>
      <c r="L112" s="183">
        <f t="shared" si="7"/>
        <v>1</v>
      </c>
      <c r="M112" s="183">
        <f t="shared" si="7"/>
        <v>1</v>
      </c>
      <c r="N112" s="183">
        <f t="shared" si="7"/>
        <v>1</v>
      </c>
      <c r="O112" s="183">
        <f t="shared" si="7"/>
        <v>1</v>
      </c>
      <c r="P112" s="183">
        <f t="shared" si="7"/>
        <v>1</v>
      </c>
      <c r="Q112" s="183">
        <f t="shared" si="7"/>
        <v>1</v>
      </c>
      <c r="R112" s="183">
        <f t="shared" si="7"/>
        <v>1</v>
      </c>
      <c r="S112" s="113"/>
      <c r="T112" s="113"/>
    </row>
    <row r="113" spans="2:20" s="190" customFormat="1" x14ac:dyDescent="0.25">
      <c r="B113" s="116" t="s">
        <v>104</v>
      </c>
      <c r="C113" s="120" t="s">
        <v>105</v>
      </c>
      <c r="D113" s="121"/>
      <c r="E113" s="121"/>
      <c r="F113" s="121"/>
      <c r="G113" s="122"/>
      <c r="H113" s="122" t="s">
        <v>106</v>
      </c>
      <c r="I113" s="72"/>
      <c r="J113" s="72"/>
      <c r="K113" s="72"/>
      <c r="L113" s="72"/>
      <c r="M113" s="72"/>
      <c r="N113" s="72"/>
      <c r="O113" s="72"/>
      <c r="P113" s="72"/>
      <c r="Q113" s="72"/>
      <c r="R113" s="72"/>
      <c r="S113" s="113"/>
      <c r="T113" s="113"/>
    </row>
    <row r="114" spans="2:20" s="190" customFormat="1" x14ac:dyDescent="0.25">
      <c r="B114" s="116"/>
      <c r="C114" s="123"/>
      <c r="D114" s="123"/>
      <c r="E114" s="123"/>
      <c r="F114" s="123"/>
      <c r="G114" s="123"/>
      <c r="H114" s="123"/>
      <c r="I114" s="197"/>
      <c r="J114" s="197"/>
      <c r="K114" s="197"/>
      <c r="L114" s="197"/>
      <c r="M114" s="197"/>
      <c r="N114" s="197"/>
      <c r="O114" s="197"/>
      <c r="P114" s="197"/>
      <c r="Q114" s="197"/>
      <c r="R114" s="197"/>
      <c r="S114" s="113"/>
      <c r="T114" s="113"/>
    </row>
    <row r="115" spans="2:20" s="190" customFormat="1" x14ac:dyDescent="0.25">
      <c r="B115" s="116"/>
      <c r="C115" s="115" t="s">
        <v>113</v>
      </c>
      <c r="D115" s="123"/>
      <c r="E115" s="123"/>
      <c r="F115" s="123"/>
      <c r="G115" s="123"/>
      <c r="H115" s="123"/>
      <c r="I115" s="197"/>
      <c r="J115" s="197"/>
      <c r="K115" s="197"/>
      <c r="L115" s="197"/>
      <c r="M115" s="197"/>
      <c r="N115" s="197"/>
      <c r="O115" s="197"/>
      <c r="P115" s="197"/>
      <c r="Q115" s="197"/>
      <c r="R115" s="197"/>
      <c r="S115" s="113"/>
      <c r="T115" s="113"/>
    </row>
    <row r="116" spans="2:20" s="190" customFormat="1" x14ac:dyDescent="0.25">
      <c r="B116" s="116" t="s">
        <v>83</v>
      </c>
      <c r="C116" s="120" t="s">
        <v>84</v>
      </c>
      <c r="D116" s="121"/>
      <c r="E116" s="121"/>
      <c r="F116" s="121"/>
      <c r="G116" s="122"/>
      <c r="H116" s="122" t="s">
        <v>78</v>
      </c>
      <c r="I116" s="72"/>
      <c r="J116" s="72"/>
      <c r="K116" s="72"/>
      <c r="L116" s="72"/>
      <c r="M116" s="72"/>
      <c r="N116" s="72"/>
      <c r="O116" s="72"/>
      <c r="P116" s="72"/>
      <c r="Q116" s="72"/>
      <c r="R116" s="72"/>
      <c r="S116" s="113"/>
      <c r="T116" s="113"/>
    </row>
    <row r="117" spans="2:20" s="190" customFormat="1" x14ac:dyDescent="0.25">
      <c r="B117" s="116" t="s">
        <v>85</v>
      </c>
      <c r="C117" s="120" t="s">
        <v>86</v>
      </c>
      <c r="D117" s="121"/>
      <c r="E117" s="121"/>
      <c r="F117" s="121"/>
      <c r="G117" s="122"/>
      <c r="H117" s="122" t="s">
        <v>87</v>
      </c>
      <c r="I117" s="72"/>
      <c r="J117" s="72"/>
      <c r="K117" s="72"/>
      <c r="L117" s="72"/>
      <c r="M117" s="72"/>
      <c r="N117" s="72"/>
      <c r="O117" s="72"/>
      <c r="P117" s="72"/>
      <c r="Q117" s="72"/>
      <c r="R117" s="72"/>
      <c r="S117" s="113"/>
      <c r="T117" s="113"/>
    </row>
    <row r="118" spans="2:20" s="190" customFormat="1" x14ac:dyDescent="0.25">
      <c r="B118" s="116" t="s">
        <v>88</v>
      </c>
      <c r="C118" s="120" t="s">
        <v>89</v>
      </c>
      <c r="D118" s="121"/>
      <c r="E118" s="121"/>
      <c r="F118" s="121"/>
      <c r="G118" s="122"/>
      <c r="H118" s="122" t="s">
        <v>87</v>
      </c>
      <c r="I118" s="72"/>
      <c r="J118" s="72"/>
      <c r="K118" s="72"/>
      <c r="L118" s="72"/>
      <c r="M118" s="72"/>
      <c r="N118" s="72"/>
      <c r="O118" s="72"/>
      <c r="P118" s="72"/>
      <c r="Q118" s="72"/>
      <c r="R118" s="72"/>
      <c r="S118" s="113"/>
      <c r="T118" s="113"/>
    </row>
    <row r="119" spans="2:20" s="190" customFormat="1" x14ac:dyDescent="0.25">
      <c r="B119" s="116" t="s">
        <v>90</v>
      </c>
      <c r="C119" s="120" t="s">
        <v>91</v>
      </c>
      <c r="D119" s="121"/>
      <c r="E119" s="121"/>
      <c r="F119" s="121"/>
      <c r="G119" s="122"/>
      <c r="H119" s="122" t="s">
        <v>92</v>
      </c>
      <c r="I119" s="72"/>
      <c r="J119" s="72"/>
      <c r="K119" s="72"/>
      <c r="L119" s="72"/>
      <c r="M119" s="72"/>
      <c r="N119" s="72"/>
      <c r="O119" s="72"/>
      <c r="P119" s="72"/>
      <c r="Q119" s="72"/>
      <c r="R119" s="72"/>
      <c r="S119" s="113"/>
      <c r="T119" s="113"/>
    </row>
    <row r="120" spans="2:20" s="198" customFormat="1" x14ac:dyDescent="0.25">
      <c r="B120" s="125" t="s">
        <v>93</v>
      </c>
      <c r="C120" s="120" t="s">
        <v>94</v>
      </c>
      <c r="D120" s="126"/>
      <c r="E120" s="126"/>
      <c r="F120" s="126"/>
      <c r="G120" s="127"/>
      <c r="H120" s="127"/>
      <c r="I120" s="72" t="s">
        <v>95</v>
      </c>
      <c r="J120" s="72" t="s">
        <v>95</v>
      </c>
      <c r="K120" s="72" t="s">
        <v>95</v>
      </c>
      <c r="L120" s="72" t="s">
        <v>95</v>
      </c>
      <c r="M120" s="72" t="s">
        <v>95</v>
      </c>
      <c r="N120" s="72" t="s">
        <v>95</v>
      </c>
      <c r="O120" s="72" t="s">
        <v>95</v>
      </c>
      <c r="P120" s="72" t="s">
        <v>95</v>
      </c>
      <c r="Q120" s="72" t="s">
        <v>95</v>
      </c>
      <c r="R120" s="72" t="s">
        <v>95</v>
      </c>
      <c r="S120" s="113"/>
      <c r="T120" s="113"/>
    </row>
    <row r="121" spans="2:20" s="190" customFormat="1" ht="24.75" x14ac:dyDescent="0.25">
      <c r="B121" s="116" t="s">
        <v>96</v>
      </c>
      <c r="C121" s="120" t="s">
        <v>97</v>
      </c>
      <c r="D121" s="121"/>
      <c r="E121" s="121"/>
      <c r="F121" s="121"/>
      <c r="G121" s="122"/>
      <c r="H121" s="122"/>
      <c r="I121" s="72" t="str" cm="1">
        <f t="array" ref="I121">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21" s="72" t="str" cm="1">
        <f t="array" ref="J121">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21" s="72" t="str" cm="1">
        <f t="array" ref="K121">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21" s="72" t="str" cm="1">
        <f t="array" ref="L121">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21" s="72" t="str" cm="1">
        <f t="array" ref="M121">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21" s="72" t="str" cm="1">
        <f t="array" ref="N121">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21" s="72" t="str" cm="1">
        <f t="array" ref="O121">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21" s="72" t="str" cm="1">
        <f t="array" ref="P121">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21" s="72" t="str" cm="1">
        <f t="array" ref="Q121">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21" s="72" t="str" cm="1">
        <f t="array" ref="R121">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21" s="113"/>
      <c r="T121" s="113"/>
    </row>
    <row r="122" spans="2:20" s="190" customFormat="1" ht="24.75" x14ac:dyDescent="0.25">
      <c r="B122" s="116" t="s">
        <v>98</v>
      </c>
      <c r="C122" s="120" t="s">
        <v>99</v>
      </c>
      <c r="D122" s="121"/>
      <c r="E122" s="121"/>
      <c r="F122" s="121"/>
      <c r="G122" s="122"/>
      <c r="H122" s="122"/>
      <c r="I122" s="72" t="str" cm="1">
        <f t="array" ref="I122">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22" s="72" t="str" cm="1">
        <f t="array" ref="J122">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22" s="72" t="str" cm="1">
        <f t="array" ref="K122">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22" s="72" t="str" cm="1">
        <f t="array" ref="L122">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22" s="72" t="str" cm="1">
        <f t="array" ref="M122">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22" s="72" t="str" cm="1">
        <f t="array" ref="N122">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22" s="72" t="str" cm="1">
        <f t="array" ref="O122">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22" s="72" t="str" cm="1">
        <f t="array" ref="P122">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22" s="72" t="str" cm="1">
        <f t="array" ref="Q122">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22" s="72" t="str" cm="1">
        <f t="array" ref="R122">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22" s="113"/>
      <c r="T122" s="113"/>
    </row>
    <row r="123" spans="2:20" s="190" customFormat="1" ht="24.75" x14ac:dyDescent="0.25">
      <c r="B123" s="116" t="s">
        <v>100</v>
      </c>
      <c r="C123" s="120" t="s">
        <v>101</v>
      </c>
      <c r="D123" s="121"/>
      <c r="E123" s="121"/>
      <c r="F123" s="121"/>
      <c r="G123" s="122"/>
      <c r="H123" s="122"/>
      <c r="I123" s="72" t="str" cm="1">
        <f t="array" ref="I123">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23" s="72" t="str" cm="1">
        <f t="array" ref="J123">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23" s="72" t="str" cm="1">
        <f t="array" ref="K123">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23" s="72" t="str" cm="1">
        <f t="array" ref="L123">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23" s="72" t="str" cm="1">
        <f t="array" ref="M123">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23" s="72" t="str" cm="1">
        <f t="array" ref="N123">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23" s="72" t="str" cm="1">
        <f t="array" ref="O123">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23" s="72" t="str" cm="1">
        <f t="array" ref="P123">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23" s="72" t="str" cm="1">
        <f t="array" ref="Q123">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23" s="72" t="str" cm="1">
        <f t="array" ref="R123">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23" s="113"/>
      <c r="T123" s="113"/>
    </row>
    <row r="124" spans="2:20" s="190" customFormat="1" x14ac:dyDescent="0.25">
      <c r="B124" s="116" t="s">
        <v>102</v>
      </c>
      <c r="C124" s="124" t="s">
        <v>103</v>
      </c>
      <c r="D124" s="121"/>
      <c r="E124" s="121"/>
      <c r="F124" s="121"/>
      <c r="G124" s="122"/>
      <c r="H124" s="122"/>
      <c r="I124" s="183">
        <f>IF(IF(I120=$I$238,I121,IF(I120=$I$239,I121*I122,IF(I120=$I$240,I121*I122*I123,1)))=0,"Fyll i 2.6-2.8",IF(I120=$I$238,I121,IF(I120=$I$239,I121*I122,IF(I120=$I$240,I121*I122*I123,1))))</f>
        <v>1</v>
      </c>
      <c r="J124" s="183">
        <f t="shared" ref="J124:R124" si="8">IF(IF(J120=$I$238,J121,IF(J120=$I$239,J121*J122,IF(J120=$I$240,J121*J122*J123,1)))=0,"Fyll i 2.6-2.8",IF(J120=$I$238,J121,IF(J120=$I$239,J121*J122,IF(J120=$I$240,J121*J122*J123,1))))</f>
        <v>1</v>
      </c>
      <c r="K124" s="183">
        <f t="shared" si="8"/>
        <v>1</v>
      </c>
      <c r="L124" s="183">
        <f t="shared" si="8"/>
        <v>1</v>
      </c>
      <c r="M124" s="183">
        <f t="shared" si="8"/>
        <v>1</v>
      </c>
      <c r="N124" s="183">
        <f t="shared" si="8"/>
        <v>1</v>
      </c>
      <c r="O124" s="183">
        <f t="shared" si="8"/>
        <v>1</v>
      </c>
      <c r="P124" s="183">
        <f t="shared" si="8"/>
        <v>1</v>
      </c>
      <c r="Q124" s="183">
        <f t="shared" si="8"/>
        <v>1</v>
      </c>
      <c r="R124" s="183">
        <f t="shared" si="8"/>
        <v>1</v>
      </c>
      <c r="S124" s="113"/>
      <c r="T124" s="113"/>
    </row>
    <row r="125" spans="2:20" s="190" customFormat="1" x14ac:dyDescent="0.25">
      <c r="B125" s="116" t="s">
        <v>104</v>
      </c>
      <c r="C125" s="120" t="s">
        <v>105</v>
      </c>
      <c r="D125" s="121"/>
      <c r="E125" s="121"/>
      <c r="F125" s="121"/>
      <c r="G125" s="122"/>
      <c r="H125" s="122" t="s">
        <v>106</v>
      </c>
      <c r="I125" s="72"/>
      <c r="J125" s="72"/>
      <c r="K125" s="72"/>
      <c r="L125" s="72"/>
      <c r="M125" s="72"/>
      <c r="N125" s="72"/>
      <c r="O125" s="72"/>
      <c r="P125" s="72"/>
      <c r="Q125" s="72"/>
      <c r="R125" s="72"/>
      <c r="S125" s="113"/>
      <c r="T125" s="113"/>
    </row>
    <row r="126" spans="2:20" s="190" customFormat="1" x14ac:dyDescent="0.25">
      <c r="B126" s="116"/>
      <c r="C126" s="123"/>
      <c r="D126" s="123"/>
      <c r="E126" s="123"/>
      <c r="F126" s="123"/>
      <c r="G126" s="123"/>
      <c r="H126" s="123"/>
      <c r="I126" s="197"/>
      <c r="J126" s="197"/>
      <c r="K126" s="197"/>
      <c r="L126" s="197"/>
      <c r="M126" s="197"/>
      <c r="N126" s="197"/>
      <c r="O126" s="197"/>
      <c r="P126" s="197"/>
      <c r="Q126" s="197"/>
      <c r="R126" s="197"/>
      <c r="S126" s="113"/>
      <c r="T126" s="113"/>
    </row>
    <row r="127" spans="2:20" s="190" customFormat="1" x14ac:dyDescent="0.25">
      <c r="B127" s="116"/>
      <c r="C127" s="115" t="s">
        <v>114</v>
      </c>
      <c r="D127" s="123"/>
      <c r="E127" s="123"/>
      <c r="F127" s="123"/>
      <c r="G127" s="123"/>
      <c r="H127" s="123"/>
      <c r="I127" s="197"/>
      <c r="J127" s="197"/>
      <c r="K127" s="197"/>
      <c r="L127" s="197"/>
      <c r="M127" s="197"/>
      <c r="N127" s="197"/>
      <c r="O127" s="197"/>
      <c r="P127" s="197"/>
      <c r="Q127" s="197"/>
      <c r="R127" s="197"/>
      <c r="S127" s="113"/>
      <c r="T127" s="113"/>
    </row>
    <row r="128" spans="2:20" s="190" customFormat="1" x14ac:dyDescent="0.25">
      <c r="B128" s="116" t="s">
        <v>83</v>
      </c>
      <c r="C128" s="120" t="s">
        <v>84</v>
      </c>
      <c r="D128" s="121"/>
      <c r="E128" s="121"/>
      <c r="F128" s="121"/>
      <c r="G128" s="122"/>
      <c r="H128" s="122" t="s">
        <v>78</v>
      </c>
      <c r="I128" s="72"/>
      <c r="J128" s="72"/>
      <c r="K128" s="72"/>
      <c r="L128" s="72"/>
      <c r="M128" s="72"/>
      <c r="N128" s="72"/>
      <c r="O128" s="72"/>
      <c r="P128" s="72"/>
      <c r="Q128" s="72"/>
      <c r="R128" s="72"/>
      <c r="S128" s="113"/>
      <c r="T128" s="113"/>
    </row>
    <row r="129" spans="2:20" s="190" customFormat="1" x14ac:dyDescent="0.25">
      <c r="B129" s="116" t="s">
        <v>85</v>
      </c>
      <c r="C129" s="120" t="s">
        <v>86</v>
      </c>
      <c r="D129" s="121"/>
      <c r="E129" s="121"/>
      <c r="F129" s="121"/>
      <c r="G129" s="122"/>
      <c r="H129" s="122" t="s">
        <v>87</v>
      </c>
      <c r="I129" s="72"/>
      <c r="J129" s="72"/>
      <c r="K129" s="72"/>
      <c r="L129" s="72"/>
      <c r="M129" s="72"/>
      <c r="N129" s="72"/>
      <c r="O129" s="72"/>
      <c r="P129" s="72"/>
      <c r="Q129" s="72"/>
      <c r="R129" s="72"/>
      <c r="S129" s="113"/>
      <c r="T129" s="113"/>
    </row>
    <row r="130" spans="2:20" s="190" customFormat="1" x14ac:dyDescent="0.25">
      <c r="B130" s="116" t="s">
        <v>88</v>
      </c>
      <c r="C130" s="120" t="s">
        <v>89</v>
      </c>
      <c r="D130" s="121"/>
      <c r="E130" s="121"/>
      <c r="F130" s="121"/>
      <c r="G130" s="122"/>
      <c r="H130" s="122" t="s">
        <v>87</v>
      </c>
      <c r="I130" s="72"/>
      <c r="J130" s="72"/>
      <c r="K130" s="72"/>
      <c r="L130" s="72"/>
      <c r="M130" s="72"/>
      <c r="N130" s="72"/>
      <c r="O130" s="72"/>
      <c r="P130" s="72"/>
      <c r="Q130" s="72"/>
      <c r="R130" s="72"/>
      <c r="S130" s="113"/>
      <c r="T130" s="113"/>
    </row>
    <row r="131" spans="2:20" s="190" customFormat="1" x14ac:dyDescent="0.25">
      <c r="B131" s="116" t="s">
        <v>90</v>
      </c>
      <c r="C131" s="120" t="s">
        <v>91</v>
      </c>
      <c r="D131" s="121"/>
      <c r="E131" s="121"/>
      <c r="F131" s="121"/>
      <c r="G131" s="122"/>
      <c r="H131" s="122" t="s">
        <v>92</v>
      </c>
      <c r="I131" s="72"/>
      <c r="J131" s="72"/>
      <c r="K131" s="72"/>
      <c r="L131" s="72"/>
      <c r="M131" s="72"/>
      <c r="N131" s="72"/>
      <c r="O131" s="72"/>
      <c r="P131" s="72"/>
      <c r="Q131" s="72"/>
      <c r="R131" s="72"/>
      <c r="S131" s="113"/>
      <c r="T131" s="113"/>
    </row>
    <row r="132" spans="2:20" s="198" customFormat="1" x14ac:dyDescent="0.25">
      <c r="B132" s="125" t="s">
        <v>93</v>
      </c>
      <c r="C132" s="120" t="s">
        <v>94</v>
      </c>
      <c r="D132" s="126"/>
      <c r="E132" s="126"/>
      <c r="F132" s="126"/>
      <c r="G132" s="127"/>
      <c r="H132" s="127"/>
      <c r="I132" s="72" t="s">
        <v>95</v>
      </c>
      <c r="J132" s="72" t="s">
        <v>95</v>
      </c>
      <c r="K132" s="72" t="s">
        <v>95</v>
      </c>
      <c r="L132" s="72" t="s">
        <v>95</v>
      </c>
      <c r="M132" s="72" t="s">
        <v>95</v>
      </c>
      <c r="N132" s="72" t="s">
        <v>95</v>
      </c>
      <c r="O132" s="72" t="s">
        <v>95</v>
      </c>
      <c r="P132" s="72" t="s">
        <v>95</v>
      </c>
      <c r="Q132" s="72" t="s">
        <v>95</v>
      </c>
      <c r="R132" s="72" t="s">
        <v>95</v>
      </c>
      <c r="S132" s="113"/>
      <c r="T132" s="113"/>
    </row>
    <row r="133" spans="2:20" s="190" customFormat="1" ht="24.75" x14ac:dyDescent="0.25">
      <c r="B133" s="116" t="s">
        <v>96</v>
      </c>
      <c r="C133" s="120" t="s">
        <v>97</v>
      </c>
      <c r="D133" s="121"/>
      <c r="E133" s="121"/>
      <c r="F133" s="121"/>
      <c r="G133" s="122"/>
      <c r="H133" s="122"/>
      <c r="I133" s="72" t="str" cm="1">
        <f t="array" ref="I133">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33" s="72" t="str" cm="1">
        <f t="array" ref="J133">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33" s="72" t="str" cm="1">
        <f t="array" ref="K133">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33" s="72" t="str" cm="1">
        <f t="array" ref="L133">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33" s="72" t="str" cm="1">
        <f t="array" ref="M133">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33" s="72" t="str" cm="1">
        <f t="array" ref="N133">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33" s="72" t="str" cm="1">
        <f t="array" ref="O133">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33" s="72" t="str" cm="1">
        <f t="array" ref="P133">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33" s="72" t="str" cm="1">
        <f t="array" ref="Q133">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33" s="72" t="str" cm="1">
        <f t="array" ref="R133">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33" s="113"/>
      <c r="T133" s="113"/>
    </row>
    <row r="134" spans="2:20" s="190" customFormat="1" ht="24.75" x14ac:dyDescent="0.25">
      <c r="B134" s="116" t="s">
        <v>98</v>
      </c>
      <c r="C134" s="120" t="s">
        <v>99</v>
      </c>
      <c r="D134" s="121"/>
      <c r="E134" s="121"/>
      <c r="F134" s="121"/>
      <c r="G134" s="122"/>
      <c r="H134" s="122"/>
      <c r="I134" s="72" t="str" cm="1">
        <f t="array" ref="I134">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34" s="72" t="str" cm="1">
        <f t="array" ref="J134">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34" s="72" t="str" cm="1">
        <f t="array" ref="K134">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34" s="72" t="str" cm="1">
        <f t="array" ref="L134">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34" s="72" t="str" cm="1">
        <f t="array" ref="M134">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34" s="72" t="str" cm="1">
        <f t="array" ref="N134">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34" s="72" t="str" cm="1">
        <f t="array" ref="O134">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34" s="72" t="str" cm="1">
        <f t="array" ref="P134">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34" s="72" t="str" cm="1">
        <f t="array" ref="Q134">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34" s="72" t="str" cm="1">
        <f t="array" ref="R134">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34" s="113"/>
      <c r="T134" s="113"/>
    </row>
    <row r="135" spans="2:20" s="190" customFormat="1" ht="24.75" x14ac:dyDescent="0.25">
      <c r="B135" s="116" t="s">
        <v>100</v>
      </c>
      <c r="C135" s="120" t="s">
        <v>101</v>
      </c>
      <c r="D135" s="121"/>
      <c r="E135" s="121"/>
      <c r="F135" s="121"/>
      <c r="G135" s="122"/>
      <c r="H135" s="122"/>
      <c r="I135" s="72" t="str" cm="1">
        <f t="array" ref="I135">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35" s="72" t="str" cm="1">
        <f t="array" ref="J135">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35" s="72" t="str" cm="1">
        <f t="array" ref="K135">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35" s="72" t="str" cm="1">
        <f t="array" ref="L135">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35" s="72" t="str" cm="1">
        <f t="array" ref="M135">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35" s="72" t="str" cm="1">
        <f t="array" ref="N135">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35" s="72" t="str" cm="1">
        <f t="array" ref="O135">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35" s="72" t="str" cm="1">
        <f t="array" ref="P135">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35" s="72" t="str" cm="1">
        <f t="array" ref="Q135">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35" s="72" t="str" cm="1">
        <f t="array" ref="R135">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35" s="113"/>
      <c r="T135" s="113"/>
    </row>
    <row r="136" spans="2:20" s="190" customFormat="1" x14ac:dyDescent="0.25">
      <c r="B136" s="116" t="s">
        <v>102</v>
      </c>
      <c r="C136" s="124" t="s">
        <v>103</v>
      </c>
      <c r="D136" s="121"/>
      <c r="E136" s="121"/>
      <c r="F136" s="121"/>
      <c r="G136" s="122"/>
      <c r="H136" s="122"/>
      <c r="I136" s="183">
        <f>IF(IF(I132=$I$238,I133,IF(I132=$I$239,I133*I134,IF(I132=$I$240,I133*I134*I135,1)))=0,"Fyll i 2.6-2.8",IF(I132=$I$238,I133,IF(I132=$I$239,I133*I134,IF(I132=$I$240,I133*I134*I135,1))))</f>
        <v>1</v>
      </c>
      <c r="J136" s="183">
        <f t="shared" ref="J136:R136" si="9">IF(IF(J132=$I$238,J133,IF(J132=$I$239,J133*J134,IF(J132=$I$240,J133*J134*J135,1)))=0,"Fyll i 2.6-2.8",IF(J132=$I$238,J133,IF(J132=$I$239,J133*J134,IF(J132=$I$240,J133*J134*J135,1))))</f>
        <v>1</v>
      </c>
      <c r="K136" s="183">
        <f t="shared" si="9"/>
        <v>1</v>
      </c>
      <c r="L136" s="183">
        <f t="shared" si="9"/>
        <v>1</v>
      </c>
      <c r="M136" s="183">
        <f t="shared" si="9"/>
        <v>1</v>
      </c>
      <c r="N136" s="183">
        <f t="shared" si="9"/>
        <v>1</v>
      </c>
      <c r="O136" s="183">
        <f t="shared" si="9"/>
        <v>1</v>
      </c>
      <c r="P136" s="183">
        <f t="shared" si="9"/>
        <v>1</v>
      </c>
      <c r="Q136" s="183">
        <f t="shared" si="9"/>
        <v>1</v>
      </c>
      <c r="R136" s="183">
        <f t="shared" si="9"/>
        <v>1</v>
      </c>
      <c r="S136" s="113"/>
      <c r="T136" s="113"/>
    </row>
    <row r="137" spans="2:20" s="190" customFormat="1" x14ac:dyDescent="0.25">
      <c r="B137" s="116" t="s">
        <v>104</v>
      </c>
      <c r="C137" s="120" t="s">
        <v>105</v>
      </c>
      <c r="D137" s="121"/>
      <c r="E137" s="121"/>
      <c r="F137" s="121"/>
      <c r="G137" s="122"/>
      <c r="H137" s="122" t="s">
        <v>106</v>
      </c>
      <c r="I137" s="72"/>
      <c r="J137" s="72"/>
      <c r="K137" s="72"/>
      <c r="L137" s="72"/>
      <c r="M137" s="72"/>
      <c r="N137" s="72"/>
      <c r="O137" s="72"/>
      <c r="P137" s="72"/>
      <c r="Q137" s="72"/>
      <c r="R137" s="72"/>
      <c r="S137" s="113"/>
      <c r="T137" s="113"/>
    </row>
    <row r="138" spans="2:20" s="190" customFormat="1" x14ac:dyDescent="0.25">
      <c r="B138" s="116"/>
      <c r="C138" s="123"/>
      <c r="D138" s="123"/>
      <c r="E138" s="123"/>
      <c r="F138" s="123"/>
      <c r="G138" s="123"/>
      <c r="H138" s="123"/>
      <c r="I138" s="197"/>
      <c r="J138" s="197"/>
      <c r="K138" s="197"/>
      <c r="L138" s="197"/>
      <c r="M138" s="197"/>
      <c r="N138" s="197"/>
      <c r="O138" s="197"/>
      <c r="P138" s="197"/>
      <c r="Q138" s="197"/>
      <c r="R138" s="197"/>
      <c r="S138" s="113"/>
      <c r="T138" s="113"/>
    </row>
    <row r="139" spans="2:20" s="190" customFormat="1" x14ac:dyDescent="0.25">
      <c r="B139" s="116"/>
      <c r="C139" s="115" t="s">
        <v>115</v>
      </c>
      <c r="D139" s="123"/>
      <c r="E139" s="123"/>
      <c r="F139" s="123"/>
      <c r="G139" s="123"/>
      <c r="H139" s="123"/>
      <c r="I139" s="197"/>
      <c r="J139" s="197"/>
      <c r="K139" s="197"/>
      <c r="L139" s="197"/>
      <c r="M139" s="197"/>
      <c r="N139" s="197"/>
      <c r="O139" s="197"/>
      <c r="P139" s="197"/>
      <c r="Q139" s="197"/>
      <c r="R139" s="197"/>
      <c r="S139" s="113"/>
      <c r="T139" s="113"/>
    </row>
    <row r="140" spans="2:20" s="190" customFormat="1" x14ac:dyDescent="0.25">
      <c r="B140" s="116" t="s">
        <v>83</v>
      </c>
      <c r="C140" s="120" t="s">
        <v>84</v>
      </c>
      <c r="D140" s="121"/>
      <c r="E140" s="121"/>
      <c r="F140" s="121"/>
      <c r="G140" s="122"/>
      <c r="H140" s="122" t="s">
        <v>78</v>
      </c>
      <c r="I140" s="72"/>
      <c r="J140" s="72"/>
      <c r="K140" s="72"/>
      <c r="L140" s="72"/>
      <c r="M140" s="72"/>
      <c r="N140" s="72"/>
      <c r="O140" s="72"/>
      <c r="P140" s="72"/>
      <c r="Q140" s="72"/>
      <c r="R140" s="72"/>
      <c r="S140" s="113"/>
      <c r="T140" s="113"/>
    </row>
    <row r="141" spans="2:20" s="190" customFormat="1" x14ac:dyDescent="0.25">
      <c r="B141" s="116" t="s">
        <v>85</v>
      </c>
      <c r="C141" s="120" t="s">
        <v>86</v>
      </c>
      <c r="D141" s="121"/>
      <c r="E141" s="121"/>
      <c r="F141" s="121"/>
      <c r="G141" s="122"/>
      <c r="H141" s="122" t="s">
        <v>87</v>
      </c>
      <c r="I141" s="72"/>
      <c r="J141" s="72"/>
      <c r="K141" s="72"/>
      <c r="L141" s="72"/>
      <c r="M141" s="72"/>
      <c r="N141" s="72"/>
      <c r="O141" s="72"/>
      <c r="P141" s="72"/>
      <c r="Q141" s="72"/>
      <c r="R141" s="72"/>
      <c r="S141" s="113"/>
      <c r="T141" s="113"/>
    </row>
    <row r="142" spans="2:20" s="190" customFormat="1" x14ac:dyDescent="0.25">
      <c r="B142" s="116" t="s">
        <v>88</v>
      </c>
      <c r="C142" s="120" t="s">
        <v>89</v>
      </c>
      <c r="D142" s="121"/>
      <c r="E142" s="121"/>
      <c r="F142" s="121"/>
      <c r="G142" s="122"/>
      <c r="H142" s="122" t="s">
        <v>87</v>
      </c>
      <c r="I142" s="72"/>
      <c r="J142" s="72"/>
      <c r="K142" s="72"/>
      <c r="L142" s="72"/>
      <c r="M142" s="72"/>
      <c r="N142" s="72"/>
      <c r="O142" s="72"/>
      <c r="P142" s="72"/>
      <c r="Q142" s="72"/>
      <c r="R142" s="72"/>
      <c r="S142" s="113"/>
      <c r="T142" s="113"/>
    </row>
    <row r="143" spans="2:20" s="190" customFormat="1" x14ac:dyDescent="0.25">
      <c r="B143" s="116" t="s">
        <v>90</v>
      </c>
      <c r="C143" s="120" t="s">
        <v>91</v>
      </c>
      <c r="D143" s="121"/>
      <c r="E143" s="121"/>
      <c r="F143" s="121"/>
      <c r="G143" s="122"/>
      <c r="H143" s="122" t="s">
        <v>92</v>
      </c>
      <c r="I143" s="72"/>
      <c r="J143" s="72"/>
      <c r="K143" s="72"/>
      <c r="L143" s="72"/>
      <c r="M143" s="72"/>
      <c r="N143" s="72"/>
      <c r="O143" s="72"/>
      <c r="P143" s="72"/>
      <c r="Q143" s="72"/>
      <c r="R143" s="72"/>
      <c r="S143" s="113"/>
      <c r="T143" s="113"/>
    </row>
    <row r="144" spans="2:20" s="198" customFormat="1" x14ac:dyDescent="0.25">
      <c r="B144" s="125" t="s">
        <v>93</v>
      </c>
      <c r="C144" s="120" t="s">
        <v>94</v>
      </c>
      <c r="D144" s="126"/>
      <c r="E144" s="126"/>
      <c r="F144" s="126"/>
      <c r="G144" s="127"/>
      <c r="H144" s="127"/>
      <c r="I144" s="72" t="s">
        <v>95</v>
      </c>
      <c r="J144" s="72" t="s">
        <v>95</v>
      </c>
      <c r="K144" s="72" t="s">
        <v>95</v>
      </c>
      <c r="L144" s="72" t="s">
        <v>95</v>
      </c>
      <c r="M144" s="72" t="s">
        <v>95</v>
      </c>
      <c r="N144" s="72" t="s">
        <v>95</v>
      </c>
      <c r="O144" s="72" t="s">
        <v>95</v>
      </c>
      <c r="P144" s="72" t="s">
        <v>95</v>
      </c>
      <c r="Q144" s="72" t="s">
        <v>95</v>
      </c>
      <c r="R144" s="72" t="s">
        <v>95</v>
      </c>
      <c r="S144" s="113"/>
      <c r="T144" s="113"/>
    </row>
    <row r="145" spans="1:20" s="190" customFormat="1" ht="24.75" x14ac:dyDescent="0.25">
      <c r="B145" s="116" t="s">
        <v>96</v>
      </c>
      <c r="C145" s="120" t="s">
        <v>97</v>
      </c>
      <c r="D145" s="121"/>
      <c r="E145" s="121"/>
      <c r="F145" s="121"/>
      <c r="G145" s="122"/>
      <c r="H145" s="122"/>
      <c r="I145" s="72" t="str" cm="1">
        <f t="array" ref="I145">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45" s="72" t="str" cm="1">
        <f t="array" ref="J145">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45" s="72" t="str" cm="1">
        <f t="array" ref="K145">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45" s="72" t="str" cm="1">
        <f t="array" ref="L145">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45" s="72" t="str" cm="1">
        <f t="array" ref="M145">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45" s="72" t="str" cm="1">
        <f t="array" ref="N145">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45" s="72" t="str" cm="1">
        <f t="array" ref="O145">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45" s="72" t="str" cm="1">
        <f t="array" ref="P145">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45" s="72" t="str" cm="1">
        <f t="array" ref="Q145">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45" s="72" t="str" cm="1">
        <f t="array" ref="R145">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45" s="113"/>
      <c r="T145" s="113"/>
    </row>
    <row r="146" spans="1:20" s="190" customFormat="1" ht="24.75" x14ac:dyDescent="0.25">
      <c r="B146" s="116" t="s">
        <v>98</v>
      </c>
      <c r="C146" s="120" t="s">
        <v>99</v>
      </c>
      <c r="D146" s="121"/>
      <c r="E146" s="121"/>
      <c r="F146" s="121"/>
      <c r="G146" s="122"/>
      <c r="H146" s="122"/>
      <c r="I146" s="72" t="str" cm="1">
        <f t="array" ref="I146">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46" s="72" t="str" cm="1">
        <f t="array" ref="J146">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46" s="72" t="str" cm="1">
        <f t="array" ref="K146">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46" s="72" t="str" cm="1">
        <f t="array" ref="L146">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46" s="72" t="str" cm="1">
        <f t="array" ref="M146">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46" s="72" t="str" cm="1">
        <f t="array" ref="N146">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46" s="72" t="str" cm="1">
        <f t="array" ref="O146">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46" s="72" t="str" cm="1">
        <f t="array" ref="P146">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46" s="72" t="str" cm="1">
        <f t="array" ref="Q146">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46" s="72" t="str" cm="1">
        <f t="array" ref="R146">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46" s="113"/>
      <c r="T146" s="113"/>
    </row>
    <row r="147" spans="1:20" s="190" customFormat="1" ht="24.75" x14ac:dyDescent="0.25">
      <c r="B147" s="116" t="s">
        <v>100</v>
      </c>
      <c r="C147" s="120" t="s">
        <v>101</v>
      </c>
      <c r="D147" s="121"/>
      <c r="E147" s="121"/>
      <c r="F147" s="121"/>
      <c r="G147" s="122"/>
      <c r="H147" s="122"/>
      <c r="I147" s="72" t="str" cm="1">
        <f t="array" ref="I147">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47" s="72" t="str" cm="1">
        <f t="array" ref="J147">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47" s="72" t="str" cm="1">
        <f t="array" ref="K147">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47" s="72" t="str" cm="1">
        <f t="array" ref="L147">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47" s="72" t="str" cm="1">
        <f t="array" ref="M147">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47" s="72" t="str" cm="1">
        <f t="array" ref="N147">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47" s="72" t="str" cm="1">
        <f t="array" ref="O147">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47" s="72" t="str" cm="1">
        <f t="array" ref="P147">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47" s="72" t="str" cm="1">
        <f t="array" ref="Q147">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47" s="72" t="str" cm="1">
        <f t="array" ref="R147">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47" s="113"/>
      <c r="T147" s="113"/>
    </row>
    <row r="148" spans="1:20" s="190" customFormat="1" x14ac:dyDescent="0.25">
      <c r="B148" s="116" t="s">
        <v>102</v>
      </c>
      <c r="C148" s="124" t="s">
        <v>103</v>
      </c>
      <c r="D148" s="121"/>
      <c r="E148" s="121"/>
      <c r="F148" s="121"/>
      <c r="G148" s="122"/>
      <c r="H148" s="122"/>
      <c r="I148" s="183">
        <f>IF(IF(I144=$I$238,I145,IF(I144=$I$239,I145*I146,IF(I144=$I$240,I145*I146*I147,1)))=0,"Fyll i 2.6-2.8",IF(I144=$I$238,I145,IF(I144=$I$239,I145*I146,IF(I144=$I$240,I145*I146*I147,1))))</f>
        <v>1</v>
      </c>
      <c r="J148" s="183">
        <f t="shared" ref="J148:R148" si="10">IF(IF(J144=$I$238,J145,IF(J144=$I$239,J145*J146,IF(J144=$I$240,J145*J146*J147,1)))=0,"Fyll i 2.6-2.8",IF(J144=$I$238,J145,IF(J144=$I$239,J145*J146,IF(J144=$I$240,J145*J146*J147,1))))</f>
        <v>1</v>
      </c>
      <c r="K148" s="183">
        <f t="shared" si="10"/>
        <v>1</v>
      </c>
      <c r="L148" s="183">
        <f t="shared" si="10"/>
        <v>1</v>
      </c>
      <c r="M148" s="183">
        <f t="shared" si="10"/>
        <v>1</v>
      </c>
      <c r="N148" s="183">
        <f t="shared" si="10"/>
        <v>1</v>
      </c>
      <c r="O148" s="183">
        <f t="shared" si="10"/>
        <v>1</v>
      </c>
      <c r="P148" s="183">
        <f t="shared" si="10"/>
        <v>1</v>
      </c>
      <c r="Q148" s="183">
        <f t="shared" si="10"/>
        <v>1</v>
      </c>
      <c r="R148" s="183">
        <f t="shared" si="10"/>
        <v>1</v>
      </c>
      <c r="S148" s="113"/>
      <c r="T148" s="113"/>
    </row>
    <row r="149" spans="1:20" s="190" customFormat="1" x14ac:dyDescent="0.25">
      <c r="B149" s="116" t="s">
        <v>104</v>
      </c>
      <c r="C149" s="120" t="s">
        <v>105</v>
      </c>
      <c r="D149" s="121"/>
      <c r="E149" s="121"/>
      <c r="F149" s="121"/>
      <c r="G149" s="122"/>
      <c r="H149" s="122" t="s">
        <v>106</v>
      </c>
      <c r="I149" s="72"/>
      <c r="J149" s="72"/>
      <c r="K149" s="72"/>
      <c r="L149" s="72"/>
      <c r="M149" s="72"/>
      <c r="N149" s="72"/>
      <c r="O149" s="72"/>
      <c r="P149" s="72"/>
      <c r="Q149" s="72"/>
      <c r="R149" s="72"/>
      <c r="S149" s="113"/>
      <c r="T149" s="113"/>
    </row>
    <row r="150" spans="1:20" s="190" customFormat="1" x14ac:dyDescent="0.25">
      <c r="B150" s="116"/>
      <c r="C150" s="123"/>
      <c r="D150" s="123"/>
      <c r="E150" s="123"/>
      <c r="F150" s="123"/>
      <c r="G150" s="123"/>
      <c r="H150" s="123"/>
      <c r="I150" s="197"/>
      <c r="J150" s="197"/>
      <c r="K150" s="197"/>
      <c r="L150" s="197"/>
      <c r="M150" s="197"/>
      <c r="N150" s="197"/>
      <c r="O150" s="197"/>
      <c r="P150" s="197"/>
      <c r="Q150" s="197"/>
      <c r="R150" s="197"/>
      <c r="S150" s="113"/>
      <c r="T150" s="113"/>
    </row>
    <row r="151" spans="1:20" s="190" customFormat="1" x14ac:dyDescent="0.25">
      <c r="B151" s="116"/>
      <c r="C151" s="115" t="s">
        <v>116</v>
      </c>
      <c r="D151" s="123"/>
      <c r="E151" s="123"/>
      <c r="F151" s="123"/>
      <c r="G151" s="123"/>
      <c r="H151" s="123"/>
      <c r="I151" s="197"/>
      <c r="J151" s="197"/>
      <c r="K151" s="197"/>
      <c r="L151" s="197"/>
      <c r="M151" s="197"/>
      <c r="N151" s="197"/>
      <c r="O151" s="197"/>
      <c r="P151" s="197"/>
      <c r="Q151" s="197"/>
      <c r="R151" s="197"/>
      <c r="S151" s="113"/>
      <c r="T151" s="113"/>
    </row>
    <row r="152" spans="1:20" s="190" customFormat="1" x14ac:dyDescent="0.25">
      <c r="B152" s="116" t="s">
        <v>117</v>
      </c>
      <c r="C152" s="120" t="s">
        <v>118</v>
      </c>
      <c r="D152" s="121"/>
      <c r="E152" s="121"/>
      <c r="F152" s="121"/>
      <c r="G152" s="122"/>
      <c r="H152" s="122" t="s">
        <v>106</v>
      </c>
      <c r="I152" s="72"/>
      <c r="J152" s="72"/>
      <c r="K152" s="72"/>
      <c r="L152" s="72"/>
      <c r="M152" s="72"/>
      <c r="N152" s="72"/>
      <c r="O152" s="72"/>
      <c r="P152" s="72"/>
      <c r="Q152" s="72"/>
      <c r="R152" s="72"/>
      <c r="S152" s="113"/>
      <c r="T152" s="113"/>
    </row>
    <row r="153" spans="1:20" s="190" customFormat="1" x14ac:dyDescent="0.25">
      <c r="B153" s="128"/>
      <c r="C153" s="129"/>
      <c r="D153" s="129"/>
      <c r="E153" s="129"/>
      <c r="F153" s="129"/>
      <c r="G153" s="129"/>
      <c r="H153" s="129"/>
      <c r="I153" s="199"/>
      <c r="J153" s="199"/>
      <c r="K153" s="199"/>
      <c r="L153" s="199"/>
      <c r="M153" s="199"/>
      <c r="N153" s="199"/>
      <c r="O153" s="199"/>
      <c r="P153" s="199"/>
      <c r="Q153" s="199"/>
      <c r="R153" s="199"/>
      <c r="S153" s="113"/>
      <c r="T153" s="113"/>
    </row>
    <row r="154" spans="1:20" s="190" customFormat="1" ht="21" x14ac:dyDescent="0.25">
      <c r="B154" s="292"/>
      <c r="C154" s="454" t="s">
        <v>119</v>
      </c>
      <c r="D154" s="454"/>
      <c r="E154" s="289"/>
      <c r="F154" s="293"/>
      <c r="G154" s="293"/>
      <c r="H154" s="294"/>
      <c r="I154" s="295"/>
      <c r="J154" s="295"/>
      <c r="K154" s="295"/>
      <c r="L154" s="296"/>
      <c r="M154" s="296"/>
      <c r="N154" s="296"/>
      <c r="O154" s="296"/>
      <c r="P154" s="296"/>
      <c r="Q154" s="296"/>
      <c r="R154" s="296"/>
      <c r="S154" s="297"/>
      <c r="T154" s="297"/>
    </row>
    <row r="155" spans="1:20" s="134" customFormat="1" ht="18.75" x14ac:dyDescent="0.3">
      <c r="A155" s="202"/>
      <c r="C155" s="135" t="s">
        <v>120</v>
      </c>
      <c r="D155" s="136"/>
      <c r="E155" s="137"/>
      <c r="F155" s="137"/>
      <c r="G155" s="137"/>
      <c r="H155" s="137"/>
      <c r="I155" s="254">
        <f>IF(I233="","",SUMPRODUCT(($I$233:$XFD$233&lt;I233)*($I$233:$XFD$233&lt;&gt;""))+SUMPRODUCT(($I$233:I233=I233)*1))</f>
        <v>1</v>
      </c>
      <c r="J155" s="254" t="str">
        <f>IF(J233="","",SUMPRODUCT(($I$233:$XFD$233&lt;J233)*($I$233:$XFD$233&lt;&gt;""))+SUMPRODUCT(($I$233:J233=J233)*1))</f>
        <v/>
      </c>
      <c r="K155" s="254" t="str">
        <f>IF(K233="","",SUMPRODUCT(($I$233:$XFD$233&lt;K233)*($I$233:$XFD$233&lt;&gt;""))+SUMPRODUCT(($I$233:K233=K233)*1))</f>
        <v/>
      </c>
      <c r="L155" s="254" t="str">
        <f>IF(L233="","",SUMPRODUCT(($I$233:$XFD$233&lt;L233)*($I$233:$XFD$233&lt;&gt;""))+SUMPRODUCT(($I$233:L233=L233)*1))</f>
        <v/>
      </c>
      <c r="M155" s="254" t="str">
        <f>IF(M233="","",SUMPRODUCT(($I$233:$XFD$233&lt;M233)*($I$233:$XFD$233&lt;&gt;""))+SUMPRODUCT(($I$233:M233=M233)*1))</f>
        <v/>
      </c>
      <c r="N155" s="254" t="str">
        <f>IF(N233="","",SUMPRODUCT(($I$233:$XFD$233&lt;N233)*($I$233:$XFD$233&lt;&gt;""))+SUMPRODUCT(($I$233:N233=N233)*1))</f>
        <v/>
      </c>
      <c r="O155" s="254" t="str">
        <f>IF(O233="","",SUMPRODUCT(($I$233:$XFD$233&lt;O233)*($I$233:$XFD$233&lt;&gt;""))+SUMPRODUCT(($I$233:O233=O233)*1))</f>
        <v/>
      </c>
      <c r="P155" s="254" t="str">
        <f>IF(P233="","",SUMPRODUCT(($I$233:$XFD$233&lt;P233)*($I$233:$XFD$233&lt;&gt;""))+SUMPRODUCT(($I$233:P233=P233)*1))</f>
        <v/>
      </c>
      <c r="Q155" s="254" t="str">
        <f>IF(Q233="","",SUMPRODUCT(($I$233:$XFD$233&lt;Q233)*($I$233:$XFD$233&lt;&gt;""))+SUMPRODUCT(($I$233:Q233=Q233)*1))</f>
        <v/>
      </c>
      <c r="R155" s="254" t="str">
        <f>IF(R233="","",SUMPRODUCT(($I$233:$XFD$233&lt;R233)*($I$233:$XFD$233&lt;&gt;""))+SUMPRODUCT(($I$233:R233=R233)*1))</f>
        <v/>
      </c>
      <c r="S155" s="113"/>
      <c r="T155" s="113"/>
    </row>
    <row r="156" spans="1:20" s="190" customFormat="1" x14ac:dyDescent="0.25">
      <c r="B156" s="138"/>
      <c r="C156" s="442"/>
      <c r="D156" s="442"/>
      <c r="E156" s="442"/>
      <c r="F156" s="442"/>
      <c r="G156" s="442"/>
      <c r="H156" s="139"/>
      <c r="I156" s="255" t="str">
        <f>I167</f>
        <v>Byggnadstyp 1</v>
      </c>
      <c r="J156" s="255" t="str">
        <f t="shared" ref="J156:R156" si="11">J167</f>
        <v>Byggnadstyp 2</v>
      </c>
      <c r="K156" s="255" t="str">
        <f t="shared" si="11"/>
        <v>Byggnadstyp 3</v>
      </c>
      <c r="L156" s="255" t="str">
        <f t="shared" si="11"/>
        <v>Byggnadstyp 4</v>
      </c>
      <c r="M156" s="255" t="str">
        <f t="shared" si="11"/>
        <v>Byggnadstyp 5</v>
      </c>
      <c r="N156" s="255" t="str">
        <f t="shared" si="11"/>
        <v>Byggnadstyp 6</v>
      </c>
      <c r="O156" s="255" t="str">
        <f t="shared" si="11"/>
        <v>Byggnadstyp 7</v>
      </c>
      <c r="P156" s="255" t="str">
        <f t="shared" si="11"/>
        <v>Byggnadstyp 8</v>
      </c>
      <c r="Q156" s="255" t="str">
        <f t="shared" si="11"/>
        <v>Byggnadstyp 9</v>
      </c>
      <c r="R156" s="255" t="str">
        <f t="shared" si="11"/>
        <v>Byggnadstyp 10</v>
      </c>
      <c r="S156" s="113"/>
      <c r="T156" s="113"/>
    </row>
    <row r="157" spans="1:20" s="190" customFormat="1" x14ac:dyDescent="0.25">
      <c r="B157" s="140" t="s">
        <v>121</v>
      </c>
      <c r="C157" s="141" t="s">
        <v>122</v>
      </c>
      <c r="D157" s="141"/>
      <c r="E157" s="141"/>
      <c r="F157" s="141"/>
      <c r="G157" s="141"/>
      <c r="H157" s="142" t="s">
        <v>123</v>
      </c>
      <c r="I157" s="256">
        <f t="shared" ref="I157:N157" si="12">I180+I199*$I$201+I215*$I$217</f>
        <v>0</v>
      </c>
      <c r="J157" s="256">
        <f t="shared" si="12"/>
        <v>0</v>
      </c>
      <c r="K157" s="256">
        <f t="shared" si="12"/>
        <v>0</v>
      </c>
      <c r="L157" s="256">
        <f t="shared" si="12"/>
        <v>0</v>
      </c>
      <c r="M157" s="256">
        <f t="shared" si="12"/>
        <v>0</v>
      </c>
      <c r="N157" s="256">
        <f t="shared" si="12"/>
        <v>0</v>
      </c>
      <c r="O157" s="256">
        <f t="shared" ref="O157:R157" si="13">O180+O199*$I$201+O215*$I$217</f>
        <v>0</v>
      </c>
      <c r="P157" s="256">
        <f t="shared" si="13"/>
        <v>0</v>
      </c>
      <c r="Q157" s="256">
        <f t="shared" si="13"/>
        <v>0</v>
      </c>
      <c r="R157" s="256">
        <f t="shared" si="13"/>
        <v>0</v>
      </c>
      <c r="S157" s="113"/>
      <c r="T157" s="113"/>
    </row>
    <row r="158" spans="1:20" s="190" customFormat="1" x14ac:dyDescent="0.25">
      <c r="B158" s="140" t="s">
        <v>124</v>
      </c>
      <c r="C158" s="141" t="s">
        <v>125</v>
      </c>
      <c r="D158" s="141"/>
      <c r="E158" s="141"/>
      <c r="F158" s="141"/>
      <c r="G158" s="141"/>
      <c r="H158" s="142" t="s">
        <v>126</v>
      </c>
      <c r="I158" s="256">
        <f>I221</f>
        <v>0</v>
      </c>
      <c r="J158" s="256">
        <f>J221</f>
        <v>0</v>
      </c>
      <c r="K158" s="256">
        <f t="shared" ref="K158:R158" si="14">K221</f>
        <v>0</v>
      </c>
      <c r="L158" s="256">
        <f t="shared" si="14"/>
        <v>0</v>
      </c>
      <c r="M158" s="256">
        <f t="shared" si="14"/>
        <v>0</v>
      </c>
      <c r="N158" s="256">
        <f t="shared" si="14"/>
        <v>0</v>
      </c>
      <c r="O158" s="256">
        <f t="shared" si="14"/>
        <v>0</v>
      </c>
      <c r="P158" s="256">
        <f t="shared" si="14"/>
        <v>0</v>
      </c>
      <c r="Q158" s="256">
        <f t="shared" si="14"/>
        <v>0</v>
      </c>
      <c r="R158" s="256">
        <f t="shared" si="14"/>
        <v>0</v>
      </c>
      <c r="S158" s="113"/>
      <c r="T158" s="113"/>
    </row>
    <row r="159" spans="1:20" s="190" customFormat="1" ht="18.75" x14ac:dyDescent="0.25">
      <c r="B159" s="128"/>
      <c r="C159" s="143" t="s">
        <v>127</v>
      </c>
      <c r="D159" s="144"/>
      <c r="E159" s="144"/>
      <c r="F159" s="144"/>
      <c r="G159" s="144"/>
      <c r="H159" s="142"/>
      <c r="I159" s="257"/>
      <c r="J159" s="257"/>
      <c r="K159" s="257"/>
      <c r="L159" s="257"/>
      <c r="M159" s="257"/>
      <c r="N159" s="257"/>
      <c r="O159" s="257"/>
      <c r="P159" s="257"/>
      <c r="Q159" s="257"/>
      <c r="R159" s="257"/>
      <c r="S159" s="113"/>
      <c r="T159" s="113"/>
    </row>
    <row r="160" spans="1:20" s="190" customFormat="1" x14ac:dyDescent="0.25">
      <c r="B160" s="128" t="s">
        <v>128</v>
      </c>
      <c r="C160" s="443" t="s">
        <v>129</v>
      </c>
      <c r="D160" s="443"/>
      <c r="E160" s="443"/>
      <c r="F160" s="443"/>
      <c r="G160" s="443"/>
      <c r="H160" s="142" t="s">
        <v>123</v>
      </c>
      <c r="I160" s="257">
        <f>I181+I202+I218</f>
        <v>0</v>
      </c>
      <c r="J160" s="257"/>
      <c r="K160" s="257"/>
      <c r="L160" s="257"/>
      <c r="M160" s="257"/>
      <c r="N160" s="257"/>
      <c r="O160" s="257"/>
      <c r="P160" s="257"/>
      <c r="Q160" s="257"/>
      <c r="R160" s="257"/>
      <c r="S160" s="113"/>
      <c r="T160" s="113"/>
    </row>
    <row r="161" spans="2:20" s="190" customFormat="1" x14ac:dyDescent="0.25">
      <c r="B161" s="128" t="s">
        <v>130</v>
      </c>
      <c r="C161" s="145" t="s">
        <v>131</v>
      </c>
      <c r="D161" s="144"/>
      <c r="E161" s="144"/>
      <c r="F161" s="144"/>
      <c r="G161" s="144"/>
      <c r="H161" s="142" t="s">
        <v>123</v>
      </c>
      <c r="I161" s="257">
        <f>I200</f>
        <v>0</v>
      </c>
      <c r="J161" s="257"/>
      <c r="K161" s="257"/>
      <c r="L161" s="257"/>
      <c r="M161" s="257"/>
      <c r="N161" s="257"/>
      <c r="O161" s="257"/>
      <c r="P161" s="257"/>
      <c r="Q161" s="257"/>
      <c r="R161" s="257"/>
      <c r="S161" s="113"/>
      <c r="T161" s="113"/>
    </row>
    <row r="162" spans="2:20" s="190" customFormat="1" x14ac:dyDescent="0.25">
      <c r="B162" s="128" t="s">
        <v>132</v>
      </c>
      <c r="C162" s="145" t="s">
        <v>133</v>
      </c>
      <c r="D162" s="144"/>
      <c r="E162" s="144"/>
      <c r="F162" s="144"/>
      <c r="G162" s="144"/>
      <c r="H162" s="142" t="s">
        <v>123</v>
      </c>
      <c r="I162" s="257">
        <f>I202</f>
        <v>0</v>
      </c>
      <c r="J162" s="257"/>
      <c r="K162" s="257"/>
      <c r="L162" s="257"/>
      <c r="M162" s="257"/>
      <c r="N162" s="257"/>
      <c r="O162" s="257"/>
      <c r="P162" s="257"/>
      <c r="Q162" s="257"/>
      <c r="R162" s="257"/>
      <c r="S162" s="113"/>
      <c r="T162" s="113"/>
    </row>
    <row r="163" spans="2:20" s="190" customFormat="1" x14ac:dyDescent="0.25">
      <c r="B163" s="128" t="s">
        <v>134</v>
      </c>
      <c r="C163" s="443" t="s">
        <v>135</v>
      </c>
      <c r="D163" s="443"/>
      <c r="E163" s="443"/>
      <c r="F163" s="443"/>
      <c r="G163" s="443"/>
      <c r="H163" s="142" t="s">
        <v>136</v>
      </c>
      <c r="I163" s="257">
        <f>SUM(I220:XFD220)</f>
        <v>0</v>
      </c>
      <c r="J163" s="257"/>
      <c r="K163" s="257"/>
      <c r="L163" s="257"/>
      <c r="M163" s="257"/>
      <c r="N163" s="257"/>
      <c r="O163" s="257"/>
      <c r="P163" s="257"/>
      <c r="Q163" s="257"/>
      <c r="R163" s="257"/>
      <c r="S163" s="113"/>
      <c r="T163" s="113"/>
    </row>
    <row r="164" spans="2:20" s="190" customFormat="1" x14ac:dyDescent="0.25">
      <c r="B164" s="128"/>
      <c r="C164" s="144"/>
      <c r="D164" s="144"/>
      <c r="E164" s="144"/>
      <c r="F164" s="144"/>
      <c r="G164" s="144"/>
      <c r="H164" s="142"/>
      <c r="I164" s="257"/>
      <c r="J164" s="257"/>
      <c r="K164" s="257"/>
      <c r="L164" s="257"/>
      <c r="M164" s="257"/>
      <c r="N164" s="257"/>
      <c r="O164" s="257"/>
      <c r="P164" s="257"/>
      <c r="Q164" s="257"/>
      <c r="R164" s="257"/>
      <c r="S164" s="113"/>
      <c r="T164" s="113"/>
    </row>
    <row r="165" spans="2:20" s="190" customFormat="1" x14ac:dyDescent="0.25">
      <c r="B165" s="138"/>
      <c r="C165" s="442"/>
      <c r="D165" s="442"/>
      <c r="E165" s="442"/>
      <c r="F165" s="442"/>
      <c r="G165" s="442"/>
      <c r="H165" s="139"/>
      <c r="I165" s="258"/>
      <c r="J165" s="199"/>
      <c r="K165" s="199"/>
      <c r="L165" s="199"/>
      <c r="M165" s="199"/>
      <c r="N165" s="199"/>
      <c r="O165" s="199"/>
      <c r="P165" s="199"/>
      <c r="Q165" s="199"/>
      <c r="R165" s="199"/>
      <c r="S165" s="113"/>
      <c r="T165" s="113"/>
    </row>
    <row r="166" spans="2:20" s="202" customFormat="1" ht="18.75" x14ac:dyDescent="0.3">
      <c r="B166" s="298"/>
      <c r="C166" s="299" t="s">
        <v>137</v>
      </c>
      <c r="D166" s="298"/>
      <c r="E166" s="300"/>
      <c r="F166" s="298"/>
      <c r="G166" s="298"/>
      <c r="H166" s="298"/>
      <c r="I166" s="301"/>
      <c r="J166" s="301"/>
      <c r="K166" s="301"/>
      <c r="L166" s="301"/>
      <c r="M166" s="301"/>
      <c r="N166" s="301"/>
      <c r="O166" s="301"/>
      <c r="P166" s="301"/>
      <c r="Q166" s="301"/>
      <c r="R166" s="301"/>
      <c r="S166" s="298"/>
      <c r="T166" s="298"/>
    </row>
    <row r="167" spans="2:20" s="209" customFormat="1" ht="21" x14ac:dyDescent="0.35">
      <c r="B167" s="149"/>
      <c r="C167" s="441"/>
      <c r="D167" s="441"/>
      <c r="E167" s="441"/>
      <c r="F167" s="441"/>
      <c r="G167" s="441"/>
      <c r="H167" s="151"/>
      <c r="I167" s="262" t="str">
        <f t="shared" ref="I167:N167" si="15">I25</f>
        <v>Byggnadstyp 1</v>
      </c>
      <c r="J167" s="262" t="str">
        <f t="shared" si="15"/>
        <v>Byggnadstyp 2</v>
      </c>
      <c r="K167" s="262" t="str">
        <f t="shared" si="15"/>
        <v>Byggnadstyp 3</v>
      </c>
      <c r="L167" s="263" t="str">
        <f t="shared" si="15"/>
        <v>Byggnadstyp 4</v>
      </c>
      <c r="M167" s="263" t="str">
        <f t="shared" si="15"/>
        <v>Byggnadstyp 5</v>
      </c>
      <c r="N167" s="263" t="str">
        <f t="shared" si="15"/>
        <v>Byggnadstyp 6</v>
      </c>
      <c r="O167" s="263" t="str">
        <f t="shared" ref="O167:R167" si="16">O25</f>
        <v>Byggnadstyp 7</v>
      </c>
      <c r="P167" s="263" t="str">
        <f t="shared" si="16"/>
        <v>Byggnadstyp 8</v>
      </c>
      <c r="Q167" s="263" t="str">
        <f t="shared" si="16"/>
        <v>Byggnadstyp 9</v>
      </c>
      <c r="R167" s="263" t="str">
        <f t="shared" si="16"/>
        <v>Byggnadstyp 10</v>
      </c>
      <c r="S167" s="113"/>
      <c r="T167" s="113"/>
    </row>
    <row r="168" spans="2:20" ht="12.75" x14ac:dyDescent="0.2">
      <c r="B168" s="302"/>
      <c r="C168" s="455" t="s">
        <v>138</v>
      </c>
      <c r="D168" s="455"/>
      <c r="E168" s="455"/>
      <c r="F168" s="455"/>
      <c r="G168" s="455"/>
      <c r="H168" s="302"/>
      <c r="I168" s="303"/>
      <c r="J168" s="303"/>
      <c r="K168" s="303"/>
      <c r="L168" s="304"/>
      <c r="M168" s="304"/>
      <c r="N168" s="304"/>
      <c r="O168" s="304"/>
      <c r="P168" s="304"/>
      <c r="Q168" s="304"/>
      <c r="R168" s="304"/>
      <c r="S168" s="305"/>
      <c r="T168" s="305"/>
    </row>
    <row r="169" spans="2:20" x14ac:dyDescent="0.25">
      <c r="B169" s="153"/>
      <c r="C169" s="439" t="s">
        <v>139</v>
      </c>
      <c r="D169" s="439"/>
      <c r="E169" s="439"/>
      <c r="F169" s="439"/>
      <c r="G169" s="439"/>
      <c r="H169" s="151"/>
      <c r="I169" s="268"/>
      <c r="J169" s="268"/>
      <c r="K169" s="268"/>
      <c r="L169" s="268"/>
      <c r="M169" s="268"/>
      <c r="N169" s="268"/>
      <c r="O169" s="268"/>
      <c r="P169" s="268"/>
      <c r="Q169" s="268"/>
      <c r="R169" s="268"/>
      <c r="S169" s="113"/>
      <c r="T169" s="113"/>
    </row>
    <row r="170" spans="2:20" x14ac:dyDescent="0.25">
      <c r="B170" s="153"/>
      <c r="C170" s="424" t="s">
        <v>140</v>
      </c>
      <c r="D170" s="424"/>
      <c r="E170" s="424"/>
      <c r="F170" s="424"/>
      <c r="G170" s="424"/>
      <c r="H170" s="149" t="s">
        <v>123</v>
      </c>
      <c r="I170" s="269">
        <f>I$28*(I32*(I33+I34))</f>
        <v>0</v>
      </c>
      <c r="J170" s="269">
        <f>J$28*(J32*(J33+J34))</f>
        <v>0</v>
      </c>
      <c r="K170" s="269">
        <f t="shared" ref="K170:R170" si="17">K$28*(K32*(K33+K34))</f>
        <v>0</v>
      </c>
      <c r="L170" s="269">
        <f t="shared" si="17"/>
        <v>0</v>
      </c>
      <c r="M170" s="269">
        <f t="shared" si="17"/>
        <v>0</v>
      </c>
      <c r="N170" s="269">
        <f t="shared" si="17"/>
        <v>0</v>
      </c>
      <c r="O170" s="269">
        <f t="shared" si="17"/>
        <v>0</v>
      </c>
      <c r="P170" s="269">
        <f t="shared" si="17"/>
        <v>0</v>
      </c>
      <c r="Q170" s="269">
        <f t="shared" si="17"/>
        <v>0</v>
      </c>
      <c r="R170" s="269">
        <f t="shared" si="17"/>
        <v>0</v>
      </c>
      <c r="S170" s="113"/>
      <c r="T170" s="113"/>
    </row>
    <row r="171" spans="2:20" x14ac:dyDescent="0.25">
      <c r="B171" s="153"/>
      <c r="C171" s="424" t="s">
        <v>141</v>
      </c>
      <c r="D171" s="424"/>
      <c r="E171" s="424"/>
      <c r="F171" s="424"/>
      <c r="G171" s="424"/>
      <c r="H171" s="149" t="s">
        <v>123</v>
      </c>
      <c r="I171" s="269">
        <f>I$28*(I44*(I45+I46))</f>
        <v>0</v>
      </c>
      <c r="J171" s="269">
        <f>J$28*(J44*(J45+J46))</f>
        <v>0</v>
      </c>
      <c r="K171" s="269">
        <f t="shared" ref="K171:R171" si="18">K$28*(K44*(K45+K46))</f>
        <v>0</v>
      </c>
      <c r="L171" s="269">
        <f t="shared" si="18"/>
        <v>0</v>
      </c>
      <c r="M171" s="269">
        <f t="shared" si="18"/>
        <v>0</v>
      </c>
      <c r="N171" s="269">
        <f t="shared" si="18"/>
        <v>0</v>
      </c>
      <c r="O171" s="269">
        <f t="shared" si="18"/>
        <v>0</v>
      </c>
      <c r="P171" s="269">
        <f t="shared" si="18"/>
        <v>0</v>
      </c>
      <c r="Q171" s="269">
        <f t="shared" si="18"/>
        <v>0</v>
      </c>
      <c r="R171" s="269">
        <f t="shared" si="18"/>
        <v>0</v>
      </c>
      <c r="S171" s="113"/>
      <c r="T171" s="113"/>
    </row>
    <row r="172" spans="2:20" x14ac:dyDescent="0.25">
      <c r="B172" s="153"/>
      <c r="C172" s="424" t="s">
        <v>142</v>
      </c>
      <c r="D172" s="424"/>
      <c r="E172" s="424"/>
      <c r="F172" s="424"/>
      <c r="G172" s="424"/>
      <c r="H172" s="149" t="s">
        <v>123</v>
      </c>
      <c r="I172" s="269">
        <f>I$28*(I56*(I57+I58))</f>
        <v>0</v>
      </c>
      <c r="J172" s="269">
        <f>J$28*(J56*(J57+J58))</f>
        <v>0</v>
      </c>
      <c r="K172" s="269">
        <f t="shared" ref="K172:R172" si="19">K$28*(K56*(K57+K58))</f>
        <v>0</v>
      </c>
      <c r="L172" s="269">
        <f t="shared" si="19"/>
        <v>0</v>
      </c>
      <c r="M172" s="269">
        <f t="shared" si="19"/>
        <v>0</v>
      </c>
      <c r="N172" s="269">
        <f t="shared" si="19"/>
        <v>0</v>
      </c>
      <c r="O172" s="269">
        <f t="shared" si="19"/>
        <v>0</v>
      </c>
      <c r="P172" s="269">
        <f t="shared" si="19"/>
        <v>0</v>
      </c>
      <c r="Q172" s="269">
        <f t="shared" si="19"/>
        <v>0</v>
      </c>
      <c r="R172" s="269">
        <f t="shared" si="19"/>
        <v>0</v>
      </c>
      <c r="S172" s="113"/>
      <c r="T172" s="113"/>
    </row>
    <row r="173" spans="2:20" x14ac:dyDescent="0.25">
      <c r="B173" s="153"/>
      <c r="C173" s="424" t="s">
        <v>143</v>
      </c>
      <c r="D173" s="424"/>
      <c r="E173" s="424"/>
      <c r="F173" s="424"/>
      <c r="G173" s="424"/>
      <c r="H173" s="149" t="s">
        <v>123</v>
      </c>
      <c r="I173" s="269">
        <f>I$28*(I68*(I69+I70))</f>
        <v>0</v>
      </c>
      <c r="J173" s="269">
        <f>J$28*(J68*(J69+J70))</f>
        <v>0</v>
      </c>
      <c r="K173" s="269">
        <f t="shared" ref="K173:R173" si="20">K$28*(K68*(K69+K70))</f>
        <v>0</v>
      </c>
      <c r="L173" s="269">
        <f t="shared" si="20"/>
        <v>0</v>
      </c>
      <c r="M173" s="269">
        <f t="shared" si="20"/>
        <v>0</v>
      </c>
      <c r="N173" s="269">
        <f t="shared" si="20"/>
        <v>0</v>
      </c>
      <c r="O173" s="269">
        <f t="shared" si="20"/>
        <v>0</v>
      </c>
      <c r="P173" s="269">
        <f t="shared" si="20"/>
        <v>0</v>
      </c>
      <c r="Q173" s="269">
        <f t="shared" si="20"/>
        <v>0</v>
      </c>
      <c r="R173" s="269">
        <f t="shared" si="20"/>
        <v>0</v>
      </c>
      <c r="S173" s="113"/>
      <c r="T173" s="113"/>
    </row>
    <row r="174" spans="2:20" x14ac:dyDescent="0.25">
      <c r="B174" s="153"/>
      <c r="C174" s="424" t="s">
        <v>144</v>
      </c>
      <c r="D174" s="424"/>
      <c r="E174" s="424"/>
      <c r="F174" s="424"/>
      <c r="G174" s="424"/>
      <c r="H174" s="149" t="s">
        <v>123</v>
      </c>
      <c r="I174" s="269">
        <f>I$28*(I80*(I81+I82))</f>
        <v>0</v>
      </c>
      <c r="J174" s="269">
        <f>J$28*(J80*(J81+J82))</f>
        <v>0</v>
      </c>
      <c r="K174" s="269">
        <f t="shared" ref="K174:R174" si="21">K$28*(K80*(K81+K82))</f>
        <v>0</v>
      </c>
      <c r="L174" s="269">
        <f t="shared" si="21"/>
        <v>0</v>
      </c>
      <c r="M174" s="269">
        <f t="shared" si="21"/>
        <v>0</v>
      </c>
      <c r="N174" s="269">
        <f t="shared" si="21"/>
        <v>0</v>
      </c>
      <c r="O174" s="269">
        <f t="shared" si="21"/>
        <v>0</v>
      </c>
      <c r="P174" s="269">
        <f t="shared" si="21"/>
        <v>0</v>
      </c>
      <c r="Q174" s="269">
        <f t="shared" si="21"/>
        <v>0</v>
      </c>
      <c r="R174" s="269">
        <f t="shared" si="21"/>
        <v>0</v>
      </c>
      <c r="S174" s="113"/>
      <c r="T174" s="113"/>
    </row>
    <row r="175" spans="2:20" x14ac:dyDescent="0.25">
      <c r="B175" s="153"/>
      <c r="C175" s="424" t="s">
        <v>145</v>
      </c>
      <c r="D175" s="424"/>
      <c r="E175" s="424"/>
      <c r="F175" s="424"/>
      <c r="G175" s="424"/>
      <c r="H175" s="149" t="s">
        <v>123</v>
      </c>
      <c r="I175" s="269">
        <f>I$28*(I92*(I93+I94))</f>
        <v>0</v>
      </c>
      <c r="J175" s="269">
        <f>J$28*(J92*(J93+J94))</f>
        <v>0</v>
      </c>
      <c r="K175" s="269">
        <f t="shared" ref="K175:R175" si="22">K$28*(K92*(K93+K94))</f>
        <v>0</v>
      </c>
      <c r="L175" s="269">
        <f t="shared" si="22"/>
        <v>0</v>
      </c>
      <c r="M175" s="269">
        <f t="shared" si="22"/>
        <v>0</v>
      </c>
      <c r="N175" s="269">
        <f t="shared" si="22"/>
        <v>0</v>
      </c>
      <c r="O175" s="269">
        <f t="shared" si="22"/>
        <v>0</v>
      </c>
      <c r="P175" s="269">
        <f t="shared" si="22"/>
        <v>0</v>
      </c>
      <c r="Q175" s="269">
        <f t="shared" si="22"/>
        <v>0</v>
      </c>
      <c r="R175" s="269">
        <f t="shared" si="22"/>
        <v>0</v>
      </c>
      <c r="S175" s="113"/>
      <c r="T175" s="113"/>
    </row>
    <row r="176" spans="2:20" x14ac:dyDescent="0.25">
      <c r="B176" s="153"/>
      <c r="C176" s="424" t="s">
        <v>146</v>
      </c>
      <c r="D176" s="424"/>
      <c r="E176" s="424"/>
      <c r="F176" s="424"/>
      <c r="G176" s="424"/>
      <c r="H176" s="149" t="s">
        <v>123</v>
      </c>
      <c r="I176" s="269">
        <f>I$28*(I104*(I105+I106))</f>
        <v>0</v>
      </c>
      <c r="J176" s="269">
        <f>J$28*(J104*(J105+J106))</f>
        <v>0</v>
      </c>
      <c r="K176" s="269">
        <f t="shared" ref="K176:R176" si="23">K$28*(K104*(K105+K106))</f>
        <v>0</v>
      </c>
      <c r="L176" s="269">
        <f t="shared" si="23"/>
        <v>0</v>
      </c>
      <c r="M176" s="269">
        <f t="shared" si="23"/>
        <v>0</v>
      </c>
      <c r="N176" s="269">
        <f t="shared" si="23"/>
        <v>0</v>
      </c>
      <c r="O176" s="269">
        <f t="shared" si="23"/>
        <v>0</v>
      </c>
      <c r="P176" s="269">
        <f t="shared" si="23"/>
        <v>0</v>
      </c>
      <c r="Q176" s="269">
        <f t="shared" si="23"/>
        <v>0</v>
      </c>
      <c r="R176" s="269">
        <f t="shared" si="23"/>
        <v>0</v>
      </c>
      <c r="S176" s="113"/>
      <c r="T176" s="113"/>
    </row>
    <row r="177" spans="2:20" x14ac:dyDescent="0.25">
      <c r="B177" s="153"/>
      <c r="C177" s="424" t="s">
        <v>147</v>
      </c>
      <c r="D177" s="424"/>
      <c r="E177" s="424"/>
      <c r="F177" s="424"/>
      <c r="G177" s="424"/>
      <c r="H177" s="149" t="s">
        <v>123</v>
      </c>
      <c r="I177" s="269">
        <f>I$28*(I116*(I117+I118))</f>
        <v>0</v>
      </c>
      <c r="J177" s="269">
        <f>J$28*(J116*(J117+J118))</f>
        <v>0</v>
      </c>
      <c r="K177" s="269">
        <f t="shared" ref="K177:R177" si="24">K$28*(K116*(K117+K118))</f>
        <v>0</v>
      </c>
      <c r="L177" s="269">
        <f t="shared" si="24"/>
        <v>0</v>
      </c>
      <c r="M177" s="269">
        <f t="shared" si="24"/>
        <v>0</v>
      </c>
      <c r="N177" s="269">
        <f t="shared" si="24"/>
        <v>0</v>
      </c>
      <c r="O177" s="269">
        <f t="shared" si="24"/>
        <v>0</v>
      </c>
      <c r="P177" s="269">
        <f t="shared" si="24"/>
        <v>0</v>
      </c>
      <c r="Q177" s="269">
        <f t="shared" si="24"/>
        <v>0</v>
      </c>
      <c r="R177" s="269">
        <f t="shared" si="24"/>
        <v>0</v>
      </c>
      <c r="S177" s="113"/>
      <c r="T177" s="113"/>
    </row>
    <row r="178" spans="2:20" x14ac:dyDescent="0.25">
      <c r="B178" s="153"/>
      <c r="C178" s="424" t="s">
        <v>148</v>
      </c>
      <c r="D178" s="424"/>
      <c r="E178" s="424"/>
      <c r="F178" s="424"/>
      <c r="G178" s="424"/>
      <c r="H178" s="149" t="s">
        <v>123</v>
      </c>
      <c r="I178" s="269">
        <f>I$28*(I128*(I129+I130))</f>
        <v>0</v>
      </c>
      <c r="J178" s="269">
        <f>J$28*(J128*(J129+J130))</f>
        <v>0</v>
      </c>
      <c r="K178" s="269">
        <f t="shared" ref="K178:R178" si="25">K$28*(K128*(K129+K130))</f>
        <v>0</v>
      </c>
      <c r="L178" s="269">
        <f t="shared" si="25"/>
        <v>0</v>
      </c>
      <c r="M178" s="269">
        <f t="shared" si="25"/>
        <v>0</v>
      </c>
      <c r="N178" s="269">
        <f t="shared" si="25"/>
        <v>0</v>
      </c>
      <c r="O178" s="269">
        <f t="shared" si="25"/>
        <v>0</v>
      </c>
      <c r="P178" s="269">
        <f t="shared" si="25"/>
        <v>0</v>
      </c>
      <c r="Q178" s="269">
        <f t="shared" si="25"/>
        <v>0</v>
      </c>
      <c r="R178" s="269">
        <f t="shared" si="25"/>
        <v>0</v>
      </c>
      <c r="S178" s="113"/>
      <c r="T178" s="113"/>
    </row>
    <row r="179" spans="2:20" x14ac:dyDescent="0.25">
      <c r="B179" s="153"/>
      <c r="C179" s="424" t="s">
        <v>149</v>
      </c>
      <c r="D179" s="424"/>
      <c r="E179" s="424"/>
      <c r="F179" s="424"/>
      <c r="G179" s="424"/>
      <c r="H179" s="149" t="s">
        <v>123</v>
      </c>
      <c r="I179" s="269">
        <f>I$28*(I140*(I141+I142))</f>
        <v>0</v>
      </c>
      <c r="J179" s="269">
        <f>J$28*(J140*(J141+J142))</f>
        <v>0</v>
      </c>
      <c r="K179" s="269">
        <f t="shared" ref="K179:R179" si="26">K$28*(K140*(K141+K142))</f>
        <v>0</v>
      </c>
      <c r="L179" s="269">
        <f t="shared" si="26"/>
        <v>0</v>
      </c>
      <c r="M179" s="269">
        <f t="shared" si="26"/>
        <v>0</v>
      </c>
      <c r="N179" s="269">
        <f t="shared" si="26"/>
        <v>0</v>
      </c>
      <c r="O179" s="269">
        <f t="shared" si="26"/>
        <v>0</v>
      </c>
      <c r="P179" s="269">
        <f t="shared" si="26"/>
        <v>0</v>
      </c>
      <c r="Q179" s="269">
        <f t="shared" si="26"/>
        <v>0</v>
      </c>
      <c r="R179" s="269">
        <f t="shared" si="26"/>
        <v>0</v>
      </c>
      <c r="S179" s="113"/>
      <c r="T179" s="113"/>
    </row>
    <row r="180" spans="2:20" x14ac:dyDescent="0.25">
      <c r="B180" s="153"/>
      <c r="C180" s="155" t="s">
        <v>150</v>
      </c>
      <c r="D180" s="156"/>
      <c r="E180" s="156"/>
      <c r="F180" s="156"/>
      <c r="G180" s="156"/>
      <c r="H180" s="157" t="s">
        <v>123</v>
      </c>
      <c r="I180" s="270">
        <f>SUM(I170:I179)</f>
        <v>0</v>
      </c>
      <c r="J180" s="270">
        <f>SUM(J170:J179)</f>
        <v>0</v>
      </c>
      <c r="K180" s="270">
        <f t="shared" ref="K180:R180" si="27">SUM(K170:K179)</f>
        <v>0</v>
      </c>
      <c r="L180" s="270">
        <f t="shared" si="27"/>
        <v>0</v>
      </c>
      <c r="M180" s="270">
        <f t="shared" si="27"/>
        <v>0</v>
      </c>
      <c r="N180" s="270">
        <f t="shared" si="27"/>
        <v>0</v>
      </c>
      <c r="O180" s="270">
        <f t="shared" si="27"/>
        <v>0</v>
      </c>
      <c r="P180" s="270">
        <f t="shared" si="27"/>
        <v>0</v>
      </c>
      <c r="Q180" s="270">
        <f t="shared" si="27"/>
        <v>0</v>
      </c>
      <c r="R180" s="270">
        <f t="shared" si="27"/>
        <v>0</v>
      </c>
      <c r="S180" s="113"/>
      <c r="T180" s="113"/>
    </row>
    <row r="181" spans="2:20" ht="12.75" x14ac:dyDescent="0.2">
      <c r="B181" s="306"/>
      <c r="C181" s="453" t="s">
        <v>151</v>
      </c>
      <c r="D181" s="453"/>
      <c r="E181" s="453"/>
      <c r="F181" s="453"/>
      <c r="G181" s="453"/>
      <c r="H181" s="306" t="s">
        <v>123</v>
      </c>
      <c r="I181" s="307">
        <f>SUM(I180:XFD180)</f>
        <v>0</v>
      </c>
      <c r="J181" s="307"/>
      <c r="K181" s="307"/>
      <c r="L181" s="307"/>
      <c r="M181" s="307"/>
      <c r="N181" s="307"/>
      <c r="O181" s="307"/>
      <c r="P181" s="307"/>
      <c r="Q181" s="307"/>
      <c r="R181" s="307"/>
      <c r="S181" s="308"/>
      <c r="T181" s="308"/>
    </row>
    <row r="182" spans="2:20" ht="12.75" x14ac:dyDescent="0.2">
      <c r="B182" s="159"/>
      <c r="C182" s="446"/>
      <c r="D182" s="446"/>
      <c r="E182" s="446"/>
      <c r="F182" s="446"/>
      <c r="G182" s="446"/>
      <c r="H182" s="153"/>
      <c r="I182" s="274"/>
      <c r="J182" s="275"/>
      <c r="K182" s="275"/>
      <c r="L182" s="276"/>
      <c r="M182" s="276"/>
      <c r="N182" s="276"/>
      <c r="O182" s="276"/>
      <c r="P182" s="276"/>
      <c r="Q182" s="276"/>
      <c r="R182" s="276"/>
      <c r="S182" s="220"/>
      <c r="T182" s="220"/>
    </row>
    <row r="183" spans="2:20" ht="12.75" x14ac:dyDescent="0.2">
      <c r="B183" s="306"/>
      <c r="C183" s="453" t="s">
        <v>152</v>
      </c>
      <c r="D183" s="453"/>
      <c r="E183" s="453"/>
      <c r="F183" s="453"/>
      <c r="G183" s="453"/>
      <c r="H183" s="306"/>
      <c r="I183" s="309"/>
      <c r="J183" s="310"/>
      <c r="K183" s="310"/>
      <c r="L183" s="310"/>
      <c r="M183" s="310"/>
      <c r="N183" s="310"/>
      <c r="O183" s="310"/>
      <c r="P183" s="310"/>
      <c r="Q183" s="310"/>
      <c r="R183" s="310"/>
      <c r="S183" s="306"/>
      <c r="T183" s="306"/>
    </row>
    <row r="184" spans="2:20" x14ac:dyDescent="0.25">
      <c r="B184" s="159"/>
      <c r="C184" s="160" t="s">
        <v>153</v>
      </c>
      <c r="D184" s="155"/>
      <c r="E184" s="155"/>
      <c r="F184" s="155"/>
      <c r="G184" s="155"/>
      <c r="H184" s="153"/>
      <c r="I184" s="269"/>
      <c r="J184" s="279"/>
      <c r="K184" s="279"/>
      <c r="L184" s="279"/>
      <c r="M184" s="279"/>
      <c r="N184" s="279"/>
      <c r="O184" s="279"/>
      <c r="P184" s="279"/>
      <c r="Q184" s="279"/>
      <c r="R184" s="279"/>
      <c r="S184" s="113"/>
      <c r="T184" s="113"/>
    </row>
    <row r="185" spans="2:20" x14ac:dyDescent="0.25">
      <c r="B185" s="159"/>
      <c r="C185" s="448" t="s">
        <v>154</v>
      </c>
      <c r="D185" s="449"/>
      <c r="E185" s="449"/>
      <c r="F185" s="449"/>
      <c r="G185" s="449"/>
      <c r="H185" s="151"/>
      <c r="I185" s="280"/>
      <c r="J185" s="268"/>
      <c r="K185" s="268"/>
      <c r="L185" s="268"/>
      <c r="M185" s="268"/>
      <c r="N185" s="268"/>
      <c r="O185" s="268"/>
      <c r="P185" s="268"/>
      <c r="Q185" s="268"/>
      <c r="R185" s="268"/>
      <c r="S185" s="113"/>
      <c r="T185" s="113"/>
    </row>
    <row r="186" spans="2:20" x14ac:dyDescent="0.25">
      <c r="B186" s="159"/>
      <c r="C186" s="447" t="s">
        <v>140</v>
      </c>
      <c r="D186" s="427"/>
      <c r="E186" s="427"/>
      <c r="F186" s="427"/>
      <c r="G186" s="427"/>
      <c r="H186" s="159" t="s">
        <v>155</v>
      </c>
      <c r="I186" s="281">
        <f>(I$28*I32*I35*I40*$H$20)/1000</f>
        <v>0</v>
      </c>
      <c r="J186" s="281">
        <f>(J$28*J32*J35*J40*$H$20)/1000</f>
        <v>0</v>
      </c>
      <c r="K186" s="281">
        <f t="shared" ref="K186:R186" si="28">(K$28*K32*K35*K40*$H$20)/1000</f>
        <v>0</v>
      </c>
      <c r="L186" s="281">
        <f t="shared" si="28"/>
        <v>0</v>
      </c>
      <c r="M186" s="281">
        <f t="shared" si="28"/>
        <v>0</v>
      </c>
      <c r="N186" s="281">
        <f t="shared" si="28"/>
        <v>0</v>
      </c>
      <c r="O186" s="281">
        <f t="shared" si="28"/>
        <v>0</v>
      </c>
      <c r="P186" s="281">
        <f t="shared" si="28"/>
        <v>0</v>
      </c>
      <c r="Q186" s="281">
        <f t="shared" si="28"/>
        <v>0</v>
      </c>
      <c r="R186" s="281">
        <f t="shared" si="28"/>
        <v>0</v>
      </c>
      <c r="S186" s="113"/>
      <c r="T186" s="113"/>
    </row>
    <row r="187" spans="2:20" x14ac:dyDescent="0.25">
      <c r="B187" s="159"/>
      <c r="C187" s="426" t="s">
        <v>141</v>
      </c>
      <c r="D187" s="427"/>
      <c r="E187" s="427"/>
      <c r="F187" s="427"/>
      <c r="G187" s="427"/>
      <c r="H187" s="164" t="s">
        <v>155</v>
      </c>
      <c r="I187" s="281">
        <f>(I$28*I44*I47*I52*$H$20)/1000</f>
        <v>0</v>
      </c>
      <c r="J187" s="281">
        <f>(J$28*J44*J47*J52*$H$20)/1000</f>
        <v>0</v>
      </c>
      <c r="K187" s="281">
        <f t="shared" ref="K187:R187" si="29">(K$28*K44*K47*K52*$H$20)/1000</f>
        <v>0</v>
      </c>
      <c r="L187" s="281">
        <f t="shared" si="29"/>
        <v>0</v>
      </c>
      <c r="M187" s="281">
        <f t="shared" si="29"/>
        <v>0</v>
      </c>
      <c r="N187" s="281">
        <f t="shared" si="29"/>
        <v>0</v>
      </c>
      <c r="O187" s="281">
        <f t="shared" si="29"/>
        <v>0</v>
      </c>
      <c r="P187" s="281">
        <f t="shared" si="29"/>
        <v>0</v>
      </c>
      <c r="Q187" s="281">
        <f t="shared" si="29"/>
        <v>0</v>
      </c>
      <c r="R187" s="281">
        <f t="shared" si="29"/>
        <v>0</v>
      </c>
      <c r="S187" s="113"/>
      <c r="T187" s="113"/>
    </row>
    <row r="188" spans="2:20" x14ac:dyDescent="0.25">
      <c r="B188" s="159"/>
      <c r="C188" s="426" t="s">
        <v>142</v>
      </c>
      <c r="D188" s="427"/>
      <c r="E188" s="427"/>
      <c r="F188" s="427"/>
      <c r="G188" s="427"/>
      <c r="H188" s="164" t="s">
        <v>155</v>
      </c>
      <c r="I188" s="281">
        <f>(I$28*I56*I59*I64*$H$20)/1000</f>
        <v>0</v>
      </c>
      <c r="J188" s="281">
        <f>(J$28*J56*J59*J64*$H$20)/1000</f>
        <v>0</v>
      </c>
      <c r="K188" s="281">
        <f t="shared" ref="K188:R188" si="30">(K$28*K56*K59*K64*$H$20)/1000</f>
        <v>0</v>
      </c>
      <c r="L188" s="281">
        <f t="shared" si="30"/>
        <v>0</v>
      </c>
      <c r="M188" s="281">
        <f t="shared" si="30"/>
        <v>0</v>
      </c>
      <c r="N188" s="281">
        <f t="shared" si="30"/>
        <v>0</v>
      </c>
      <c r="O188" s="281">
        <f t="shared" si="30"/>
        <v>0</v>
      </c>
      <c r="P188" s="281">
        <f t="shared" si="30"/>
        <v>0</v>
      </c>
      <c r="Q188" s="281">
        <f t="shared" si="30"/>
        <v>0</v>
      </c>
      <c r="R188" s="281">
        <f t="shared" si="30"/>
        <v>0</v>
      </c>
      <c r="S188" s="113"/>
      <c r="T188" s="113"/>
    </row>
    <row r="189" spans="2:20" x14ac:dyDescent="0.25">
      <c r="B189" s="159"/>
      <c r="C189" s="426" t="s">
        <v>143</v>
      </c>
      <c r="D189" s="427"/>
      <c r="E189" s="427"/>
      <c r="F189" s="427"/>
      <c r="G189" s="427"/>
      <c r="H189" s="164" t="s">
        <v>155</v>
      </c>
      <c r="I189" s="281">
        <f>(I$28*I68*I71*I76*$H$20)/1000</f>
        <v>0</v>
      </c>
      <c r="J189" s="281">
        <f>(J$28*J68*J71*J76*$H$20)/1000</f>
        <v>0</v>
      </c>
      <c r="K189" s="281">
        <f t="shared" ref="K189:R189" si="31">(K$28*K68*K71*K76*$H$20)/1000</f>
        <v>0</v>
      </c>
      <c r="L189" s="281">
        <f t="shared" si="31"/>
        <v>0</v>
      </c>
      <c r="M189" s="281">
        <f t="shared" si="31"/>
        <v>0</v>
      </c>
      <c r="N189" s="281">
        <f t="shared" si="31"/>
        <v>0</v>
      </c>
      <c r="O189" s="281">
        <f t="shared" si="31"/>
        <v>0</v>
      </c>
      <c r="P189" s="281">
        <f t="shared" si="31"/>
        <v>0</v>
      </c>
      <c r="Q189" s="281">
        <f t="shared" si="31"/>
        <v>0</v>
      </c>
      <c r="R189" s="281">
        <f t="shared" si="31"/>
        <v>0</v>
      </c>
      <c r="S189" s="113"/>
      <c r="T189" s="113"/>
    </row>
    <row r="190" spans="2:20" x14ac:dyDescent="0.25">
      <c r="B190" s="159"/>
      <c r="C190" s="426" t="s">
        <v>144</v>
      </c>
      <c r="D190" s="427"/>
      <c r="E190" s="427"/>
      <c r="F190" s="427"/>
      <c r="G190" s="427"/>
      <c r="H190" s="164" t="s">
        <v>155</v>
      </c>
      <c r="I190" s="281">
        <f>(I$28*I80*I83*I88*$H$20)/1000</f>
        <v>0</v>
      </c>
      <c r="J190" s="281">
        <f>(J$28*J80*J83*J88*$H$20)/1000</f>
        <v>0</v>
      </c>
      <c r="K190" s="281">
        <f t="shared" ref="K190:R190" si="32">(K$28*K80*K83*K88*$H$20)/1000</f>
        <v>0</v>
      </c>
      <c r="L190" s="281">
        <f t="shared" si="32"/>
        <v>0</v>
      </c>
      <c r="M190" s="281">
        <f t="shared" si="32"/>
        <v>0</v>
      </c>
      <c r="N190" s="281">
        <f t="shared" si="32"/>
        <v>0</v>
      </c>
      <c r="O190" s="281">
        <f t="shared" si="32"/>
        <v>0</v>
      </c>
      <c r="P190" s="281">
        <f t="shared" si="32"/>
        <v>0</v>
      </c>
      <c r="Q190" s="281">
        <f t="shared" si="32"/>
        <v>0</v>
      </c>
      <c r="R190" s="281">
        <f t="shared" si="32"/>
        <v>0</v>
      </c>
      <c r="S190" s="113"/>
      <c r="T190" s="113"/>
    </row>
    <row r="191" spans="2:20" x14ac:dyDescent="0.25">
      <c r="B191" s="159"/>
      <c r="C191" s="426" t="s">
        <v>145</v>
      </c>
      <c r="D191" s="427"/>
      <c r="E191" s="427"/>
      <c r="F191" s="427"/>
      <c r="G191" s="427"/>
      <c r="H191" s="164" t="s">
        <v>155</v>
      </c>
      <c r="I191" s="281">
        <f>(I$28*I92*I95*I100*$H$20)/1000</f>
        <v>0</v>
      </c>
      <c r="J191" s="281">
        <f>(J$28*J92*J95*J100*$H$20)/1000</f>
        <v>0</v>
      </c>
      <c r="K191" s="281">
        <f t="shared" ref="K191:R191" si="33">(K$28*K92*K95*K100*$H$20)/1000</f>
        <v>0</v>
      </c>
      <c r="L191" s="281">
        <f t="shared" si="33"/>
        <v>0</v>
      </c>
      <c r="M191" s="281">
        <f t="shared" si="33"/>
        <v>0</v>
      </c>
      <c r="N191" s="281">
        <f t="shared" si="33"/>
        <v>0</v>
      </c>
      <c r="O191" s="281">
        <f t="shared" si="33"/>
        <v>0</v>
      </c>
      <c r="P191" s="281">
        <f t="shared" si="33"/>
        <v>0</v>
      </c>
      <c r="Q191" s="281">
        <f t="shared" si="33"/>
        <v>0</v>
      </c>
      <c r="R191" s="281">
        <f t="shared" si="33"/>
        <v>0</v>
      </c>
      <c r="S191" s="113"/>
      <c r="T191" s="113"/>
    </row>
    <row r="192" spans="2:20" x14ac:dyDescent="0.25">
      <c r="B192" s="159"/>
      <c r="C192" s="426" t="s">
        <v>146</v>
      </c>
      <c r="D192" s="427"/>
      <c r="E192" s="427"/>
      <c r="F192" s="427"/>
      <c r="G192" s="427"/>
      <c r="H192" s="164" t="s">
        <v>155</v>
      </c>
      <c r="I192" s="281">
        <f>(I$28*I104*I107*I112*$H$20)/1000</f>
        <v>0</v>
      </c>
      <c r="J192" s="281">
        <f>(J$28*J104*J107*J112*$H$20)/1000</f>
        <v>0</v>
      </c>
      <c r="K192" s="281">
        <f t="shared" ref="K192:R192" si="34">(K$28*K104*K107*K112*$H$20)/1000</f>
        <v>0</v>
      </c>
      <c r="L192" s="281">
        <f t="shared" si="34"/>
        <v>0</v>
      </c>
      <c r="M192" s="281">
        <f t="shared" si="34"/>
        <v>0</v>
      </c>
      <c r="N192" s="281">
        <f t="shared" si="34"/>
        <v>0</v>
      </c>
      <c r="O192" s="281">
        <f t="shared" si="34"/>
        <v>0</v>
      </c>
      <c r="P192" s="281">
        <f t="shared" si="34"/>
        <v>0</v>
      </c>
      <c r="Q192" s="281">
        <f t="shared" si="34"/>
        <v>0</v>
      </c>
      <c r="R192" s="281">
        <f t="shared" si="34"/>
        <v>0</v>
      </c>
      <c r="S192" s="113"/>
      <c r="T192" s="113"/>
    </row>
    <row r="193" spans="2:20" x14ac:dyDescent="0.25">
      <c r="B193" s="159"/>
      <c r="C193" s="426" t="s">
        <v>147</v>
      </c>
      <c r="D193" s="427"/>
      <c r="E193" s="427"/>
      <c r="F193" s="427"/>
      <c r="G193" s="427"/>
      <c r="H193" s="164" t="s">
        <v>155</v>
      </c>
      <c r="I193" s="281">
        <f>(I$28*I116*I119*I124*$H$20)/1000</f>
        <v>0</v>
      </c>
      <c r="J193" s="281">
        <f>(J$28*J116*J119*J124*$H$20)/1000</f>
        <v>0</v>
      </c>
      <c r="K193" s="281">
        <f t="shared" ref="K193:R193" si="35">(K$28*K116*K119*K124*$H$20)/1000</f>
        <v>0</v>
      </c>
      <c r="L193" s="281">
        <f t="shared" si="35"/>
        <v>0</v>
      </c>
      <c r="M193" s="281">
        <f t="shared" si="35"/>
        <v>0</v>
      </c>
      <c r="N193" s="281">
        <f t="shared" si="35"/>
        <v>0</v>
      </c>
      <c r="O193" s="281">
        <f t="shared" si="35"/>
        <v>0</v>
      </c>
      <c r="P193" s="281">
        <f t="shared" si="35"/>
        <v>0</v>
      </c>
      <c r="Q193" s="281">
        <f t="shared" si="35"/>
        <v>0</v>
      </c>
      <c r="R193" s="281">
        <f t="shared" si="35"/>
        <v>0</v>
      </c>
      <c r="S193" s="113"/>
      <c r="T193" s="113"/>
    </row>
    <row r="194" spans="2:20" x14ac:dyDescent="0.25">
      <c r="B194" s="159"/>
      <c r="C194" s="426" t="s">
        <v>148</v>
      </c>
      <c r="D194" s="427"/>
      <c r="E194" s="427"/>
      <c r="F194" s="427"/>
      <c r="G194" s="427"/>
      <c r="H194" s="164" t="s">
        <v>155</v>
      </c>
      <c r="I194" s="281">
        <f>(I$28*I28*I131*I136*$H$20)/1000</f>
        <v>0</v>
      </c>
      <c r="J194" s="281">
        <f>(J$28*J28*J131*J136*$H$20)/1000</f>
        <v>0</v>
      </c>
      <c r="K194" s="281">
        <f t="shared" ref="K194:R194" si="36">(K$28*K28*K131*K136*$H$20)/1000</f>
        <v>0</v>
      </c>
      <c r="L194" s="281">
        <f t="shared" si="36"/>
        <v>0</v>
      </c>
      <c r="M194" s="281">
        <f t="shared" si="36"/>
        <v>0</v>
      </c>
      <c r="N194" s="281">
        <f t="shared" si="36"/>
        <v>0</v>
      </c>
      <c r="O194" s="281">
        <f t="shared" si="36"/>
        <v>0</v>
      </c>
      <c r="P194" s="281">
        <f t="shared" si="36"/>
        <v>0</v>
      </c>
      <c r="Q194" s="281">
        <f t="shared" si="36"/>
        <v>0</v>
      </c>
      <c r="R194" s="281">
        <f t="shared" si="36"/>
        <v>0</v>
      </c>
      <c r="S194" s="113"/>
      <c r="T194" s="113"/>
    </row>
    <row r="195" spans="2:20" x14ac:dyDescent="0.25">
      <c r="B195" s="159"/>
      <c r="C195" s="426" t="s">
        <v>149</v>
      </c>
      <c r="D195" s="427"/>
      <c r="E195" s="427"/>
      <c r="F195" s="427"/>
      <c r="G195" s="427"/>
      <c r="H195" s="164" t="s">
        <v>155</v>
      </c>
      <c r="I195" s="281">
        <f>(I$28*I140*I143*I148*$H$20)/1000</f>
        <v>0</v>
      </c>
      <c r="J195" s="281">
        <f>(J$28*J140*J143*J148*$H$20)/1000</f>
        <v>0</v>
      </c>
      <c r="K195" s="281">
        <f t="shared" ref="K195:R195" si="37">(K$28*K140*K143*K148*$H$20)/1000</f>
        <v>0</v>
      </c>
      <c r="L195" s="281">
        <f t="shared" si="37"/>
        <v>0</v>
      </c>
      <c r="M195" s="281">
        <f t="shared" si="37"/>
        <v>0</v>
      </c>
      <c r="N195" s="281">
        <f t="shared" si="37"/>
        <v>0</v>
      </c>
      <c r="O195" s="281">
        <f t="shared" si="37"/>
        <v>0</v>
      </c>
      <c r="P195" s="281">
        <f t="shared" si="37"/>
        <v>0</v>
      </c>
      <c r="Q195" s="281">
        <f t="shared" si="37"/>
        <v>0</v>
      </c>
      <c r="R195" s="281">
        <f t="shared" si="37"/>
        <v>0</v>
      </c>
      <c r="S195" s="113"/>
      <c r="T195" s="113"/>
    </row>
    <row r="196" spans="2:20" s="226" customFormat="1" x14ac:dyDescent="0.25">
      <c r="B196" s="165"/>
      <c r="C196" s="166" t="s">
        <v>156</v>
      </c>
      <c r="D196" s="167"/>
      <c r="E196" s="167"/>
      <c r="F196" s="167"/>
      <c r="G196" s="167"/>
      <c r="H196" s="168" t="s">
        <v>157</v>
      </c>
      <c r="I196" s="282">
        <f>SUM(I186:I195)</f>
        <v>0</v>
      </c>
      <c r="J196" s="282">
        <f>SUM(J186:J195)</f>
        <v>0</v>
      </c>
      <c r="K196" s="282">
        <f t="shared" ref="K196:R196" si="38">SUM(K186:K195)</f>
        <v>0</v>
      </c>
      <c r="L196" s="282">
        <f t="shared" si="38"/>
        <v>0</v>
      </c>
      <c r="M196" s="282">
        <f t="shared" si="38"/>
        <v>0</v>
      </c>
      <c r="N196" s="282">
        <f t="shared" si="38"/>
        <v>0</v>
      </c>
      <c r="O196" s="282">
        <f t="shared" si="38"/>
        <v>0</v>
      </c>
      <c r="P196" s="282">
        <f t="shared" si="38"/>
        <v>0</v>
      </c>
      <c r="Q196" s="282">
        <f t="shared" si="38"/>
        <v>0</v>
      </c>
      <c r="R196" s="282">
        <f t="shared" si="38"/>
        <v>0</v>
      </c>
      <c r="S196" s="113"/>
      <c r="T196" s="113"/>
    </row>
    <row r="197" spans="2:20" s="227" customFormat="1" x14ac:dyDescent="0.25">
      <c r="B197" s="169"/>
      <c r="C197" s="160" t="s">
        <v>158</v>
      </c>
      <c r="D197" s="155"/>
      <c r="E197" s="155"/>
      <c r="F197" s="155"/>
      <c r="G197" s="155"/>
      <c r="H197" s="153" t="s">
        <v>157</v>
      </c>
      <c r="I197" s="269">
        <f>SUM(I196:XFD196)</f>
        <v>0</v>
      </c>
      <c r="J197" s="269"/>
      <c r="K197" s="269"/>
      <c r="L197" s="269"/>
      <c r="M197" s="269"/>
      <c r="N197" s="269"/>
      <c r="O197" s="269"/>
      <c r="P197" s="269"/>
      <c r="Q197" s="269"/>
      <c r="R197" s="269"/>
      <c r="S197" s="113"/>
      <c r="T197" s="113"/>
    </row>
    <row r="198" spans="2:20" x14ac:dyDescent="0.25">
      <c r="B198" s="159"/>
      <c r="C198" s="170"/>
      <c r="D198" s="171"/>
      <c r="E198" s="171"/>
      <c r="F198" s="171"/>
      <c r="G198" s="171"/>
      <c r="H198" s="169"/>
      <c r="I198" s="283"/>
      <c r="J198" s="283"/>
      <c r="K198" s="283"/>
      <c r="L198" s="283"/>
      <c r="M198" s="283"/>
      <c r="N198" s="283"/>
      <c r="O198" s="283"/>
      <c r="P198" s="283"/>
      <c r="Q198" s="283"/>
      <c r="R198" s="283"/>
      <c r="S198" s="113"/>
      <c r="T198" s="113"/>
    </row>
    <row r="199" spans="2:20" x14ac:dyDescent="0.25">
      <c r="B199" s="159"/>
      <c r="C199" s="172" t="s">
        <v>159</v>
      </c>
      <c r="D199" s="173"/>
      <c r="E199" s="173"/>
      <c r="F199" s="173"/>
      <c r="G199" s="173"/>
      <c r="H199" s="174" t="s">
        <v>106</v>
      </c>
      <c r="I199" s="284">
        <f>$H$17*I196</f>
        <v>0</v>
      </c>
      <c r="J199" s="284">
        <f>$H$17*J196</f>
        <v>0</v>
      </c>
      <c r="K199" s="284">
        <f t="shared" ref="K199:R199" si="39">$H$17*K196</f>
        <v>0</v>
      </c>
      <c r="L199" s="284">
        <f t="shared" si="39"/>
        <v>0</v>
      </c>
      <c r="M199" s="284">
        <f t="shared" si="39"/>
        <v>0</v>
      </c>
      <c r="N199" s="284">
        <f t="shared" si="39"/>
        <v>0</v>
      </c>
      <c r="O199" s="284">
        <f t="shared" si="39"/>
        <v>0</v>
      </c>
      <c r="P199" s="284">
        <f t="shared" si="39"/>
        <v>0</v>
      </c>
      <c r="Q199" s="284">
        <f t="shared" si="39"/>
        <v>0</v>
      </c>
      <c r="R199" s="284">
        <f t="shared" si="39"/>
        <v>0</v>
      </c>
      <c r="S199" s="113"/>
      <c r="T199" s="113"/>
    </row>
    <row r="200" spans="2:20" x14ac:dyDescent="0.25">
      <c r="B200" s="159"/>
      <c r="C200" s="170" t="s">
        <v>160</v>
      </c>
      <c r="D200" s="171"/>
      <c r="E200" s="171"/>
      <c r="F200" s="171"/>
      <c r="G200" s="171"/>
      <c r="H200" s="169" t="s">
        <v>106</v>
      </c>
      <c r="I200" s="283">
        <f>$H$17*I197</f>
        <v>0</v>
      </c>
      <c r="J200" s="283"/>
      <c r="K200" s="283"/>
      <c r="L200" s="283"/>
      <c r="M200" s="283"/>
      <c r="N200" s="283"/>
      <c r="O200" s="283"/>
      <c r="P200" s="283"/>
      <c r="Q200" s="283"/>
      <c r="R200" s="283"/>
      <c r="S200" s="113"/>
      <c r="T200" s="113"/>
    </row>
    <row r="201" spans="2:20" x14ac:dyDescent="0.25">
      <c r="B201" s="159"/>
      <c r="C201" s="172" t="s">
        <v>161</v>
      </c>
      <c r="D201" s="173"/>
      <c r="E201" s="173"/>
      <c r="F201" s="173"/>
      <c r="G201" s="173"/>
      <c r="H201" s="174"/>
      <c r="I201" s="285">
        <f>IF($H$16=$H$18,$H$15,(1/($H$16-$H$18))*(1-((1+$H$18)/(1+$H$16))^$H$15))</f>
        <v>0</v>
      </c>
      <c r="J201" s="283"/>
      <c r="K201" s="283"/>
      <c r="L201" s="283"/>
      <c r="M201" s="283"/>
      <c r="N201" s="283"/>
      <c r="O201" s="283"/>
      <c r="P201" s="283"/>
      <c r="Q201" s="283"/>
      <c r="R201" s="283"/>
      <c r="S201" s="113"/>
      <c r="T201" s="113"/>
    </row>
    <row r="202" spans="2:20" x14ac:dyDescent="0.25">
      <c r="B202" s="159"/>
      <c r="C202" s="170" t="s">
        <v>133</v>
      </c>
      <c r="D202" s="171"/>
      <c r="E202" s="171"/>
      <c r="F202" s="171"/>
      <c r="G202" s="171"/>
      <c r="H202" s="169" t="s">
        <v>123</v>
      </c>
      <c r="I202" s="283">
        <f>I200*I201</f>
        <v>0</v>
      </c>
      <c r="J202" s="283"/>
      <c r="K202" s="283"/>
      <c r="L202" s="283"/>
      <c r="M202" s="283"/>
      <c r="N202" s="283"/>
      <c r="O202" s="283"/>
      <c r="P202" s="283"/>
      <c r="Q202" s="283"/>
      <c r="R202" s="283"/>
      <c r="S202" s="113"/>
      <c r="T202" s="113"/>
    </row>
    <row r="203" spans="2:20" x14ac:dyDescent="0.25">
      <c r="B203" s="159"/>
      <c r="C203" s="171"/>
      <c r="D203" s="171"/>
      <c r="E203" s="171"/>
      <c r="F203" s="171"/>
      <c r="G203" s="171"/>
      <c r="H203" s="169"/>
      <c r="I203" s="283"/>
      <c r="J203" s="283"/>
      <c r="K203" s="283"/>
      <c r="L203" s="283"/>
      <c r="M203" s="283"/>
      <c r="N203" s="283"/>
      <c r="O203" s="283"/>
      <c r="P203" s="283"/>
      <c r="Q203" s="283"/>
      <c r="R203" s="283"/>
      <c r="S203" s="113"/>
      <c r="T203" s="113"/>
    </row>
    <row r="204" spans="2:20" x14ac:dyDescent="0.25">
      <c r="B204" s="159"/>
      <c r="C204" s="172" t="s">
        <v>162</v>
      </c>
      <c r="D204" s="173"/>
      <c r="E204" s="173"/>
      <c r="F204" s="173"/>
      <c r="G204" s="173"/>
      <c r="H204" s="174"/>
      <c r="I204" s="284"/>
      <c r="J204" s="284"/>
      <c r="K204" s="284"/>
      <c r="L204" s="284"/>
      <c r="M204" s="284"/>
      <c r="N204" s="284"/>
      <c r="O204" s="284"/>
      <c r="P204" s="284"/>
      <c r="Q204" s="284"/>
      <c r="R204" s="284"/>
      <c r="S204" s="113"/>
      <c r="T204" s="113"/>
    </row>
    <row r="205" spans="2:20" x14ac:dyDescent="0.25">
      <c r="B205" s="159"/>
      <c r="C205" s="163" t="s">
        <v>163</v>
      </c>
      <c r="D205" s="162"/>
      <c r="E205" s="162"/>
      <c r="F205" s="162"/>
      <c r="G205" s="162"/>
      <c r="H205" s="159" t="s">
        <v>106</v>
      </c>
      <c r="I205" s="281">
        <f>I41</f>
        <v>0</v>
      </c>
      <c r="J205" s="281">
        <f>J41</f>
        <v>0</v>
      </c>
      <c r="K205" s="281">
        <f t="shared" ref="K205:R205" si="40">K41</f>
        <v>0</v>
      </c>
      <c r="L205" s="281">
        <f t="shared" si="40"/>
        <v>0</v>
      </c>
      <c r="M205" s="281">
        <f t="shared" si="40"/>
        <v>0</v>
      </c>
      <c r="N205" s="281">
        <f t="shared" si="40"/>
        <v>0</v>
      </c>
      <c r="O205" s="281">
        <f t="shared" si="40"/>
        <v>0</v>
      </c>
      <c r="P205" s="281">
        <f t="shared" si="40"/>
        <v>0</v>
      </c>
      <c r="Q205" s="281">
        <f t="shared" si="40"/>
        <v>0</v>
      </c>
      <c r="R205" s="281">
        <f t="shared" si="40"/>
        <v>0</v>
      </c>
      <c r="S205" s="113"/>
      <c r="T205" s="113"/>
    </row>
    <row r="206" spans="2:20" x14ac:dyDescent="0.25">
      <c r="B206" s="159"/>
      <c r="C206" s="425" t="s">
        <v>164</v>
      </c>
      <c r="D206" s="424"/>
      <c r="E206" s="424"/>
      <c r="F206" s="424"/>
      <c r="G206" s="424"/>
      <c r="H206" s="149" t="s">
        <v>106</v>
      </c>
      <c r="I206" s="269">
        <f>I53</f>
        <v>0</v>
      </c>
      <c r="J206" s="269">
        <f>J53</f>
        <v>0</v>
      </c>
      <c r="K206" s="269">
        <f t="shared" ref="K206:R206" si="41">K53</f>
        <v>0</v>
      </c>
      <c r="L206" s="269">
        <f t="shared" si="41"/>
        <v>0</v>
      </c>
      <c r="M206" s="269">
        <f t="shared" si="41"/>
        <v>0</v>
      </c>
      <c r="N206" s="269">
        <f t="shared" si="41"/>
        <v>0</v>
      </c>
      <c r="O206" s="269">
        <f t="shared" si="41"/>
        <v>0</v>
      </c>
      <c r="P206" s="269">
        <f t="shared" si="41"/>
        <v>0</v>
      </c>
      <c r="Q206" s="269">
        <f t="shared" si="41"/>
        <v>0</v>
      </c>
      <c r="R206" s="269">
        <f t="shared" si="41"/>
        <v>0</v>
      </c>
      <c r="S206" s="113"/>
      <c r="T206" s="113"/>
    </row>
    <row r="207" spans="2:20" x14ac:dyDescent="0.25">
      <c r="B207" s="159"/>
      <c r="C207" s="163" t="s">
        <v>165</v>
      </c>
      <c r="D207" s="162"/>
      <c r="E207" s="162"/>
      <c r="F207" s="162"/>
      <c r="G207" s="162"/>
      <c r="H207" s="159" t="s">
        <v>106</v>
      </c>
      <c r="I207" s="269">
        <f>I65</f>
        <v>0</v>
      </c>
      <c r="J207" s="269">
        <f>J65</f>
        <v>0</v>
      </c>
      <c r="K207" s="269">
        <f t="shared" ref="K207:R207" si="42">K65</f>
        <v>0</v>
      </c>
      <c r="L207" s="269">
        <f t="shared" si="42"/>
        <v>0</v>
      </c>
      <c r="M207" s="269">
        <f t="shared" si="42"/>
        <v>0</v>
      </c>
      <c r="N207" s="269">
        <f t="shared" si="42"/>
        <v>0</v>
      </c>
      <c r="O207" s="269">
        <f t="shared" si="42"/>
        <v>0</v>
      </c>
      <c r="P207" s="269">
        <f t="shared" si="42"/>
        <v>0</v>
      </c>
      <c r="Q207" s="269">
        <f t="shared" si="42"/>
        <v>0</v>
      </c>
      <c r="R207" s="269">
        <f t="shared" si="42"/>
        <v>0</v>
      </c>
      <c r="S207" s="113"/>
      <c r="T207" s="113"/>
    </row>
    <row r="208" spans="2:20" x14ac:dyDescent="0.25">
      <c r="B208" s="159"/>
      <c r="C208" s="425" t="s">
        <v>166</v>
      </c>
      <c r="D208" s="424"/>
      <c r="E208" s="424"/>
      <c r="F208" s="424"/>
      <c r="G208" s="424"/>
      <c r="H208" s="149" t="s">
        <v>106</v>
      </c>
      <c r="I208" s="269">
        <f>I77</f>
        <v>0</v>
      </c>
      <c r="J208" s="269">
        <f>J77</f>
        <v>0</v>
      </c>
      <c r="K208" s="269">
        <f t="shared" ref="K208:R208" si="43">K77</f>
        <v>0</v>
      </c>
      <c r="L208" s="269">
        <f t="shared" si="43"/>
        <v>0</v>
      </c>
      <c r="M208" s="269">
        <f t="shared" si="43"/>
        <v>0</v>
      </c>
      <c r="N208" s="269">
        <f t="shared" si="43"/>
        <v>0</v>
      </c>
      <c r="O208" s="269">
        <f t="shared" si="43"/>
        <v>0</v>
      </c>
      <c r="P208" s="269">
        <f t="shared" si="43"/>
        <v>0</v>
      </c>
      <c r="Q208" s="269">
        <f t="shared" si="43"/>
        <v>0</v>
      </c>
      <c r="R208" s="269">
        <f t="shared" si="43"/>
        <v>0</v>
      </c>
      <c r="S208" s="113"/>
      <c r="T208" s="113"/>
    </row>
    <row r="209" spans="2:20" x14ac:dyDescent="0.25">
      <c r="B209" s="159"/>
      <c r="C209" s="163" t="s">
        <v>167</v>
      </c>
      <c r="D209" s="162"/>
      <c r="E209" s="162"/>
      <c r="F209" s="162"/>
      <c r="G209" s="162"/>
      <c r="H209" s="159" t="s">
        <v>106</v>
      </c>
      <c r="I209" s="269">
        <f>I89</f>
        <v>0</v>
      </c>
      <c r="J209" s="269">
        <f>J89</f>
        <v>0</v>
      </c>
      <c r="K209" s="269">
        <f t="shared" ref="K209:R209" si="44">K89</f>
        <v>0</v>
      </c>
      <c r="L209" s="269">
        <f t="shared" si="44"/>
        <v>0</v>
      </c>
      <c r="M209" s="269">
        <f t="shared" si="44"/>
        <v>0</v>
      </c>
      <c r="N209" s="269">
        <f t="shared" si="44"/>
        <v>0</v>
      </c>
      <c r="O209" s="269">
        <f t="shared" si="44"/>
        <v>0</v>
      </c>
      <c r="P209" s="269">
        <f t="shared" si="44"/>
        <v>0</v>
      </c>
      <c r="Q209" s="269">
        <f t="shared" si="44"/>
        <v>0</v>
      </c>
      <c r="R209" s="269">
        <f t="shared" si="44"/>
        <v>0</v>
      </c>
      <c r="S209" s="113"/>
      <c r="T209" s="113"/>
    </row>
    <row r="210" spans="2:20" x14ac:dyDescent="0.25">
      <c r="B210" s="159"/>
      <c r="C210" s="425" t="s">
        <v>168</v>
      </c>
      <c r="D210" s="424"/>
      <c r="E210" s="424"/>
      <c r="F210" s="424"/>
      <c r="G210" s="424"/>
      <c r="H210" s="149" t="s">
        <v>106</v>
      </c>
      <c r="I210" s="269">
        <f>I101</f>
        <v>0</v>
      </c>
      <c r="J210" s="269">
        <f>J101</f>
        <v>0</v>
      </c>
      <c r="K210" s="269">
        <f t="shared" ref="K210:R210" si="45">K101</f>
        <v>0</v>
      </c>
      <c r="L210" s="269">
        <f t="shared" si="45"/>
        <v>0</v>
      </c>
      <c r="M210" s="269">
        <f t="shared" si="45"/>
        <v>0</v>
      </c>
      <c r="N210" s="269">
        <f t="shared" si="45"/>
        <v>0</v>
      </c>
      <c r="O210" s="269">
        <f t="shared" si="45"/>
        <v>0</v>
      </c>
      <c r="P210" s="269">
        <f t="shared" si="45"/>
        <v>0</v>
      </c>
      <c r="Q210" s="269">
        <f t="shared" si="45"/>
        <v>0</v>
      </c>
      <c r="R210" s="269">
        <f t="shared" si="45"/>
        <v>0</v>
      </c>
      <c r="S210" s="113"/>
      <c r="T210" s="113"/>
    </row>
    <row r="211" spans="2:20" x14ac:dyDescent="0.25">
      <c r="B211" s="159"/>
      <c r="C211" s="163" t="s">
        <v>169</v>
      </c>
      <c r="D211" s="162"/>
      <c r="E211" s="162"/>
      <c r="F211" s="162"/>
      <c r="G211" s="162"/>
      <c r="H211" s="159" t="s">
        <v>106</v>
      </c>
      <c r="I211" s="269">
        <f>I113</f>
        <v>0</v>
      </c>
      <c r="J211" s="269">
        <f>J113</f>
        <v>0</v>
      </c>
      <c r="K211" s="269">
        <f t="shared" ref="K211:R211" si="46">K113</f>
        <v>0</v>
      </c>
      <c r="L211" s="269">
        <f t="shared" si="46"/>
        <v>0</v>
      </c>
      <c r="M211" s="269">
        <f t="shared" si="46"/>
        <v>0</v>
      </c>
      <c r="N211" s="269">
        <f t="shared" si="46"/>
        <v>0</v>
      </c>
      <c r="O211" s="269">
        <f t="shared" si="46"/>
        <v>0</v>
      </c>
      <c r="P211" s="269">
        <f t="shared" si="46"/>
        <v>0</v>
      </c>
      <c r="Q211" s="269">
        <f t="shared" si="46"/>
        <v>0</v>
      </c>
      <c r="R211" s="269">
        <f t="shared" si="46"/>
        <v>0</v>
      </c>
      <c r="S211" s="113"/>
      <c r="T211" s="113"/>
    </row>
    <row r="212" spans="2:20" x14ac:dyDescent="0.25">
      <c r="B212" s="159"/>
      <c r="C212" s="425" t="s">
        <v>170</v>
      </c>
      <c r="D212" s="424"/>
      <c r="E212" s="424"/>
      <c r="F212" s="424"/>
      <c r="G212" s="424"/>
      <c r="H212" s="149" t="s">
        <v>106</v>
      </c>
      <c r="I212" s="269">
        <f>I125</f>
        <v>0</v>
      </c>
      <c r="J212" s="269">
        <f>J125</f>
        <v>0</v>
      </c>
      <c r="K212" s="269">
        <f t="shared" ref="K212:R212" si="47">K125</f>
        <v>0</v>
      </c>
      <c r="L212" s="269">
        <f t="shared" si="47"/>
        <v>0</v>
      </c>
      <c r="M212" s="269">
        <f t="shared" si="47"/>
        <v>0</v>
      </c>
      <c r="N212" s="269">
        <f t="shared" si="47"/>
        <v>0</v>
      </c>
      <c r="O212" s="269">
        <f t="shared" si="47"/>
        <v>0</v>
      </c>
      <c r="P212" s="269">
        <f t="shared" si="47"/>
        <v>0</v>
      </c>
      <c r="Q212" s="269">
        <f t="shared" si="47"/>
        <v>0</v>
      </c>
      <c r="R212" s="269">
        <f t="shared" si="47"/>
        <v>0</v>
      </c>
      <c r="S212" s="113"/>
      <c r="T212" s="113"/>
    </row>
    <row r="213" spans="2:20" x14ac:dyDescent="0.25">
      <c r="B213" s="159"/>
      <c r="C213" s="163" t="s">
        <v>171</v>
      </c>
      <c r="D213" s="162"/>
      <c r="E213" s="162"/>
      <c r="F213" s="162"/>
      <c r="G213" s="162"/>
      <c r="H213" s="159" t="s">
        <v>106</v>
      </c>
      <c r="I213" s="269">
        <f>I137</f>
        <v>0</v>
      </c>
      <c r="J213" s="269">
        <f>J137</f>
        <v>0</v>
      </c>
      <c r="K213" s="269">
        <f t="shared" ref="K213:R213" si="48">K137</f>
        <v>0</v>
      </c>
      <c r="L213" s="269">
        <f t="shared" si="48"/>
        <v>0</v>
      </c>
      <c r="M213" s="269">
        <f t="shared" si="48"/>
        <v>0</v>
      </c>
      <c r="N213" s="269">
        <f t="shared" si="48"/>
        <v>0</v>
      </c>
      <c r="O213" s="269">
        <f t="shared" si="48"/>
        <v>0</v>
      </c>
      <c r="P213" s="269">
        <f t="shared" si="48"/>
        <v>0</v>
      </c>
      <c r="Q213" s="269">
        <f t="shared" si="48"/>
        <v>0</v>
      </c>
      <c r="R213" s="269">
        <f t="shared" si="48"/>
        <v>0</v>
      </c>
      <c r="S213" s="113"/>
      <c r="T213" s="113"/>
    </row>
    <row r="214" spans="2:20" x14ac:dyDescent="0.25">
      <c r="B214" s="159"/>
      <c r="C214" s="425" t="s">
        <v>172</v>
      </c>
      <c r="D214" s="424"/>
      <c r="E214" s="424"/>
      <c r="F214" s="424"/>
      <c r="G214" s="424"/>
      <c r="H214" s="149" t="s">
        <v>106</v>
      </c>
      <c r="I214" s="269">
        <f>I149</f>
        <v>0</v>
      </c>
      <c r="J214" s="269">
        <f>J149</f>
        <v>0</v>
      </c>
      <c r="K214" s="269">
        <f t="shared" ref="K214:R214" si="49">K149</f>
        <v>0</v>
      </c>
      <c r="L214" s="269">
        <f t="shared" si="49"/>
        <v>0</v>
      </c>
      <c r="M214" s="269">
        <f t="shared" si="49"/>
        <v>0</v>
      </c>
      <c r="N214" s="269">
        <f t="shared" si="49"/>
        <v>0</v>
      </c>
      <c r="O214" s="269">
        <f t="shared" si="49"/>
        <v>0</v>
      </c>
      <c r="P214" s="269">
        <f t="shared" si="49"/>
        <v>0</v>
      </c>
      <c r="Q214" s="269">
        <f t="shared" si="49"/>
        <v>0</v>
      </c>
      <c r="R214" s="269">
        <f t="shared" si="49"/>
        <v>0</v>
      </c>
      <c r="S214" s="113"/>
      <c r="T214" s="113"/>
    </row>
    <row r="215" spans="2:20" x14ac:dyDescent="0.25">
      <c r="B215" s="159"/>
      <c r="C215" s="175" t="s">
        <v>173</v>
      </c>
      <c r="D215" s="167"/>
      <c r="E215" s="167"/>
      <c r="F215" s="167"/>
      <c r="G215" s="167"/>
      <c r="H215" s="168" t="s">
        <v>106</v>
      </c>
      <c r="I215" s="282">
        <f>SUM(I205:I214)</f>
        <v>0</v>
      </c>
      <c r="J215" s="282">
        <f>SUM(J205:J214)</f>
        <v>0</v>
      </c>
      <c r="K215" s="282">
        <f t="shared" ref="K215:R215" si="50">SUM(K205:K214)</f>
        <v>0</v>
      </c>
      <c r="L215" s="282">
        <f t="shared" si="50"/>
        <v>0</v>
      </c>
      <c r="M215" s="282">
        <f t="shared" si="50"/>
        <v>0</v>
      </c>
      <c r="N215" s="282">
        <f t="shared" si="50"/>
        <v>0</v>
      </c>
      <c r="O215" s="282">
        <f t="shared" si="50"/>
        <v>0</v>
      </c>
      <c r="P215" s="282">
        <f t="shared" si="50"/>
        <v>0</v>
      </c>
      <c r="Q215" s="282">
        <f t="shared" si="50"/>
        <v>0</v>
      </c>
      <c r="R215" s="282">
        <f t="shared" si="50"/>
        <v>0</v>
      </c>
      <c r="S215" s="113"/>
      <c r="T215" s="113"/>
    </row>
    <row r="216" spans="2:20" x14ac:dyDescent="0.25">
      <c r="B216" s="159"/>
      <c r="C216" s="160" t="s">
        <v>174</v>
      </c>
      <c r="D216" s="155"/>
      <c r="E216" s="155"/>
      <c r="F216" s="155"/>
      <c r="G216" s="155"/>
      <c r="H216" s="153" t="s">
        <v>106</v>
      </c>
      <c r="I216" s="269">
        <f>SUM(I215:XFD215)</f>
        <v>0</v>
      </c>
      <c r="J216" s="269"/>
      <c r="K216" s="269"/>
      <c r="L216" s="269"/>
      <c r="M216" s="269"/>
      <c r="N216" s="269"/>
      <c r="O216" s="269"/>
      <c r="P216" s="269"/>
      <c r="Q216" s="269"/>
      <c r="R216" s="269"/>
      <c r="S216" s="113"/>
      <c r="T216" s="113"/>
    </row>
    <row r="217" spans="2:20" x14ac:dyDescent="0.25">
      <c r="B217" s="159"/>
      <c r="C217" s="161" t="s">
        <v>161</v>
      </c>
      <c r="D217" s="154"/>
      <c r="E217" s="154"/>
      <c r="F217" s="154"/>
      <c r="G217" s="154"/>
      <c r="H217" s="151"/>
      <c r="I217" s="280">
        <f>(1/$H$16)*(1-(1/(1+$H$16))^$H$15)</f>
        <v>0</v>
      </c>
      <c r="J217" s="269"/>
      <c r="K217" s="269"/>
      <c r="L217" s="269"/>
      <c r="M217" s="269"/>
      <c r="N217" s="269"/>
      <c r="O217" s="269"/>
      <c r="P217" s="269"/>
      <c r="Q217" s="269"/>
      <c r="R217" s="269"/>
      <c r="S217" s="113"/>
      <c r="T217" s="113"/>
    </row>
    <row r="218" spans="2:20" x14ac:dyDescent="0.25">
      <c r="B218" s="159"/>
      <c r="C218" s="160" t="s">
        <v>175</v>
      </c>
      <c r="D218" s="155"/>
      <c r="E218" s="155"/>
      <c r="F218" s="155"/>
      <c r="G218" s="155"/>
      <c r="H218" s="153" t="s">
        <v>123</v>
      </c>
      <c r="I218" s="269">
        <f>I217*I216</f>
        <v>0</v>
      </c>
      <c r="J218" s="269"/>
      <c r="K218" s="269"/>
      <c r="L218" s="269"/>
      <c r="M218" s="269"/>
      <c r="N218" s="269"/>
      <c r="O218" s="269"/>
      <c r="P218" s="269"/>
      <c r="Q218" s="269"/>
      <c r="R218" s="269"/>
      <c r="S218" s="113"/>
      <c r="T218" s="113"/>
    </row>
    <row r="219" spans="2:20" x14ac:dyDescent="0.25">
      <c r="B219" s="159"/>
      <c r="C219" s="171"/>
      <c r="D219" s="171"/>
      <c r="E219" s="171"/>
      <c r="F219" s="171"/>
      <c r="G219" s="171"/>
      <c r="H219" s="169"/>
      <c r="I219" s="283"/>
      <c r="J219" s="283"/>
      <c r="K219" s="283"/>
      <c r="L219" s="283"/>
      <c r="M219" s="283"/>
      <c r="N219" s="283"/>
      <c r="O219" s="283"/>
      <c r="P219" s="283"/>
      <c r="Q219" s="283"/>
      <c r="R219" s="283"/>
      <c r="S219" s="113"/>
      <c r="T219" s="113"/>
    </row>
    <row r="220" spans="2:20" x14ac:dyDescent="0.25">
      <c r="B220" s="159"/>
      <c r="C220" s="172" t="s">
        <v>176</v>
      </c>
      <c r="D220" s="173"/>
      <c r="E220" s="173"/>
      <c r="F220" s="173"/>
      <c r="G220" s="173"/>
      <c r="H220" s="174"/>
      <c r="I220" s="284">
        <f>SUM(I186:I195)*$H$19</f>
        <v>0</v>
      </c>
      <c r="J220" s="284">
        <f>SUM(J186:J195)*$H$19</f>
        <v>0</v>
      </c>
      <c r="K220" s="284">
        <f t="shared" ref="K220:R220" si="51">SUM(K186:K195)*$H$19</f>
        <v>0</v>
      </c>
      <c r="L220" s="284">
        <f t="shared" si="51"/>
        <v>0</v>
      </c>
      <c r="M220" s="284">
        <f t="shared" si="51"/>
        <v>0</v>
      </c>
      <c r="N220" s="284">
        <f t="shared" si="51"/>
        <v>0</v>
      </c>
      <c r="O220" s="284">
        <f t="shared" si="51"/>
        <v>0</v>
      </c>
      <c r="P220" s="284">
        <f t="shared" si="51"/>
        <v>0</v>
      </c>
      <c r="Q220" s="284">
        <f t="shared" si="51"/>
        <v>0</v>
      </c>
      <c r="R220" s="284">
        <f t="shared" si="51"/>
        <v>0</v>
      </c>
      <c r="S220" s="113"/>
      <c r="T220" s="113"/>
    </row>
    <row r="221" spans="2:20" x14ac:dyDescent="0.25">
      <c r="B221" s="159"/>
      <c r="C221" s="176" t="s">
        <v>125</v>
      </c>
      <c r="D221" s="177"/>
      <c r="E221" s="177"/>
      <c r="F221" s="177"/>
      <c r="G221" s="177"/>
      <c r="H221" s="178" t="s">
        <v>177</v>
      </c>
      <c r="I221" s="286">
        <f>SUM(I222:I231)</f>
        <v>0</v>
      </c>
      <c r="J221" s="286">
        <f>SUM(J222:J231)</f>
        <v>0</v>
      </c>
      <c r="K221" s="286">
        <f t="shared" ref="K221:R221" si="52">SUM(K222:K231)</f>
        <v>0</v>
      </c>
      <c r="L221" s="286">
        <f t="shared" si="52"/>
        <v>0</v>
      </c>
      <c r="M221" s="286">
        <f t="shared" si="52"/>
        <v>0</v>
      </c>
      <c r="N221" s="286">
        <f t="shared" si="52"/>
        <v>0</v>
      </c>
      <c r="O221" s="286">
        <f t="shared" si="52"/>
        <v>0</v>
      </c>
      <c r="P221" s="286">
        <f t="shared" si="52"/>
        <v>0</v>
      </c>
      <c r="Q221" s="286">
        <f t="shared" si="52"/>
        <v>0</v>
      </c>
      <c r="R221" s="286">
        <f t="shared" si="52"/>
        <v>0</v>
      </c>
      <c r="S221" s="113"/>
      <c r="T221" s="113"/>
    </row>
    <row r="222" spans="2:20" x14ac:dyDescent="0.25">
      <c r="B222" s="159"/>
      <c r="C222" s="163" t="s">
        <v>178</v>
      </c>
      <c r="D222" s="162"/>
      <c r="E222" s="162"/>
      <c r="F222" s="162"/>
      <c r="G222" s="162"/>
      <c r="H222" s="159" t="s">
        <v>177</v>
      </c>
      <c r="I222" s="281">
        <f>(I32*I35*$H$20*I40/1000)/I29</f>
        <v>0</v>
      </c>
      <c r="J222" s="281">
        <f t="shared" ref="J222:R222" si="53">(J32*J35*$H$20*J40/1000)/J29</f>
        <v>0</v>
      </c>
      <c r="K222" s="281">
        <f>(K32*K35*$H$20*K40/1000)/K29</f>
        <v>0</v>
      </c>
      <c r="L222" s="281">
        <f t="shared" si="53"/>
        <v>0</v>
      </c>
      <c r="M222" s="281">
        <f t="shared" si="53"/>
        <v>0</v>
      </c>
      <c r="N222" s="281">
        <f t="shared" si="53"/>
        <v>0</v>
      </c>
      <c r="O222" s="281">
        <f t="shared" si="53"/>
        <v>0</v>
      </c>
      <c r="P222" s="281">
        <f t="shared" si="53"/>
        <v>0</v>
      </c>
      <c r="Q222" s="281">
        <f t="shared" si="53"/>
        <v>0</v>
      </c>
      <c r="R222" s="281">
        <f t="shared" si="53"/>
        <v>0</v>
      </c>
      <c r="S222" s="113"/>
      <c r="T222" s="113"/>
    </row>
    <row r="223" spans="2:20" x14ac:dyDescent="0.25">
      <c r="B223" s="159"/>
      <c r="C223" s="425" t="s">
        <v>179</v>
      </c>
      <c r="D223" s="424"/>
      <c r="E223" s="424"/>
      <c r="F223" s="424"/>
      <c r="G223" s="424"/>
      <c r="H223" s="149" t="s">
        <v>177</v>
      </c>
      <c r="I223" s="269">
        <f>(I44*I47*$H$20*I52/1000)/I29</f>
        <v>0</v>
      </c>
      <c r="J223" s="269">
        <f t="shared" ref="J223:R223" si="54">(J44*J47*$H$20*J52/1000)/J29</f>
        <v>0</v>
      </c>
      <c r="K223" s="269">
        <f t="shared" si="54"/>
        <v>0</v>
      </c>
      <c r="L223" s="269">
        <f t="shared" si="54"/>
        <v>0</v>
      </c>
      <c r="M223" s="269">
        <f t="shared" si="54"/>
        <v>0</v>
      </c>
      <c r="N223" s="269">
        <f t="shared" si="54"/>
        <v>0</v>
      </c>
      <c r="O223" s="269">
        <f t="shared" si="54"/>
        <v>0</v>
      </c>
      <c r="P223" s="269">
        <f t="shared" si="54"/>
        <v>0</v>
      </c>
      <c r="Q223" s="269">
        <f t="shared" si="54"/>
        <v>0</v>
      </c>
      <c r="R223" s="269">
        <f t="shared" si="54"/>
        <v>0</v>
      </c>
      <c r="S223" s="113"/>
      <c r="T223" s="113"/>
    </row>
    <row r="224" spans="2:20" x14ac:dyDescent="0.25">
      <c r="B224" s="159"/>
      <c r="C224" s="163" t="s">
        <v>180</v>
      </c>
      <c r="D224" s="162"/>
      <c r="E224" s="162"/>
      <c r="F224" s="162"/>
      <c r="G224" s="162"/>
      <c r="H224" s="159" t="s">
        <v>177</v>
      </c>
      <c r="I224" s="269">
        <f>(I56*I59*$H$20*I64/1000)/I29</f>
        <v>0</v>
      </c>
      <c r="J224" s="269">
        <f t="shared" ref="J224:R224" si="55">(J56*J59*$H$20*J64/1000)/J29</f>
        <v>0</v>
      </c>
      <c r="K224" s="269">
        <f t="shared" si="55"/>
        <v>0</v>
      </c>
      <c r="L224" s="269">
        <f t="shared" si="55"/>
        <v>0</v>
      </c>
      <c r="M224" s="269">
        <f t="shared" si="55"/>
        <v>0</v>
      </c>
      <c r="N224" s="269">
        <f t="shared" si="55"/>
        <v>0</v>
      </c>
      <c r="O224" s="269">
        <f t="shared" si="55"/>
        <v>0</v>
      </c>
      <c r="P224" s="269">
        <f t="shared" si="55"/>
        <v>0</v>
      </c>
      <c r="Q224" s="269">
        <f t="shared" si="55"/>
        <v>0</v>
      </c>
      <c r="R224" s="269">
        <f t="shared" si="55"/>
        <v>0</v>
      </c>
      <c r="S224" s="113"/>
      <c r="T224" s="113"/>
    </row>
    <row r="225" spans="2:20" x14ac:dyDescent="0.25">
      <c r="B225" s="159"/>
      <c r="C225" s="425" t="s">
        <v>181</v>
      </c>
      <c r="D225" s="424"/>
      <c r="E225" s="424"/>
      <c r="F225" s="424"/>
      <c r="G225" s="424"/>
      <c r="H225" s="149" t="s">
        <v>177</v>
      </c>
      <c r="I225" s="269">
        <f>(I68*I71*$H$20*I76/1000)/I29</f>
        <v>0</v>
      </c>
      <c r="J225" s="269">
        <f t="shared" ref="J225:R225" si="56">(J68*J71*$H$20*J76/1000)/J29</f>
        <v>0</v>
      </c>
      <c r="K225" s="269">
        <f t="shared" si="56"/>
        <v>0</v>
      </c>
      <c r="L225" s="269">
        <f t="shared" si="56"/>
        <v>0</v>
      </c>
      <c r="M225" s="269">
        <f t="shared" si="56"/>
        <v>0</v>
      </c>
      <c r="N225" s="269">
        <f t="shared" si="56"/>
        <v>0</v>
      </c>
      <c r="O225" s="269">
        <f t="shared" si="56"/>
        <v>0</v>
      </c>
      <c r="P225" s="269">
        <f t="shared" si="56"/>
        <v>0</v>
      </c>
      <c r="Q225" s="269">
        <f t="shared" si="56"/>
        <v>0</v>
      </c>
      <c r="R225" s="269">
        <f t="shared" si="56"/>
        <v>0</v>
      </c>
      <c r="S225" s="113"/>
      <c r="T225" s="113"/>
    </row>
    <row r="226" spans="2:20" x14ac:dyDescent="0.25">
      <c r="B226" s="159"/>
      <c r="C226" s="163" t="s">
        <v>182</v>
      </c>
      <c r="D226" s="162"/>
      <c r="E226" s="162"/>
      <c r="F226" s="162"/>
      <c r="G226" s="162"/>
      <c r="H226" s="159" t="s">
        <v>177</v>
      </c>
      <c r="I226" s="269">
        <f>(I80*I83*$H$20*I88/1000)/I29</f>
        <v>0</v>
      </c>
      <c r="J226" s="269">
        <f t="shared" ref="J226:R226" si="57">(J80*J83*$H$20*J88/1000)/J29</f>
        <v>0</v>
      </c>
      <c r="K226" s="269">
        <f t="shared" si="57"/>
        <v>0</v>
      </c>
      <c r="L226" s="269">
        <f t="shared" si="57"/>
        <v>0</v>
      </c>
      <c r="M226" s="269">
        <f t="shared" si="57"/>
        <v>0</v>
      </c>
      <c r="N226" s="269">
        <f t="shared" si="57"/>
        <v>0</v>
      </c>
      <c r="O226" s="269">
        <f t="shared" si="57"/>
        <v>0</v>
      </c>
      <c r="P226" s="269">
        <f t="shared" si="57"/>
        <v>0</v>
      </c>
      <c r="Q226" s="269">
        <f t="shared" si="57"/>
        <v>0</v>
      </c>
      <c r="R226" s="269">
        <f t="shared" si="57"/>
        <v>0</v>
      </c>
      <c r="S226" s="113"/>
      <c r="T226" s="113"/>
    </row>
    <row r="227" spans="2:20" x14ac:dyDescent="0.25">
      <c r="B227" s="159"/>
      <c r="C227" s="425" t="s">
        <v>183</v>
      </c>
      <c r="D227" s="424"/>
      <c r="E227" s="424"/>
      <c r="F227" s="424"/>
      <c r="G227" s="424"/>
      <c r="H227" s="149" t="s">
        <v>177</v>
      </c>
      <c r="I227" s="269">
        <f>(I92*I95*$H$20*I100/1000)/I29</f>
        <v>0</v>
      </c>
      <c r="J227" s="269">
        <f t="shared" ref="J227:R227" si="58">(J92*J95*$H$20*J100/1000)/J29</f>
        <v>0</v>
      </c>
      <c r="K227" s="269">
        <f t="shared" si="58"/>
        <v>0</v>
      </c>
      <c r="L227" s="269">
        <f t="shared" si="58"/>
        <v>0</v>
      </c>
      <c r="M227" s="269">
        <f t="shared" si="58"/>
        <v>0</v>
      </c>
      <c r="N227" s="269">
        <f t="shared" si="58"/>
        <v>0</v>
      </c>
      <c r="O227" s="269">
        <f t="shared" si="58"/>
        <v>0</v>
      </c>
      <c r="P227" s="269">
        <f t="shared" si="58"/>
        <v>0</v>
      </c>
      <c r="Q227" s="269">
        <f t="shared" si="58"/>
        <v>0</v>
      </c>
      <c r="R227" s="269">
        <f t="shared" si="58"/>
        <v>0</v>
      </c>
      <c r="S227" s="113"/>
      <c r="T227" s="113"/>
    </row>
    <row r="228" spans="2:20" x14ac:dyDescent="0.25">
      <c r="B228" s="159"/>
      <c r="C228" s="163" t="s">
        <v>184</v>
      </c>
      <c r="D228" s="162"/>
      <c r="E228" s="162"/>
      <c r="F228" s="162"/>
      <c r="G228" s="162"/>
      <c r="H228" s="159" t="s">
        <v>177</v>
      </c>
      <c r="I228" s="269">
        <f>(I104*I107*$H$20*I112/1000)/I29</f>
        <v>0</v>
      </c>
      <c r="J228" s="269">
        <f t="shared" ref="J228:R228" si="59">(J104*J107*$H$20*J112/1000)/J29</f>
        <v>0</v>
      </c>
      <c r="K228" s="269">
        <f t="shared" si="59"/>
        <v>0</v>
      </c>
      <c r="L228" s="269">
        <f t="shared" si="59"/>
        <v>0</v>
      </c>
      <c r="M228" s="269">
        <f t="shared" si="59"/>
        <v>0</v>
      </c>
      <c r="N228" s="269">
        <f t="shared" si="59"/>
        <v>0</v>
      </c>
      <c r="O228" s="269">
        <f t="shared" si="59"/>
        <v>0</v>
      </c>
      <c r="P228" s="269">
        <f t="shared" si="59"/>
        <v>0</v>
      </c>
      <c r="Q228" s="269">
        <f t="shared" si="59"/>
        <v>0</v>
      </c>
      <c r="R228" s="269">
        <f t="shared" si="59"/>
        <v>0</v>
      </c>
      <c r="S228" s="113"/>
      <c r="T228" s="113"/>
    </row>
    <row r="229" spans="2:20" x14ac:dyDescent="0.25">
      <c r="B229" s="159"/>
      <c r="C229" s="425" t="s">
        <v>185</v>
      </c>
      <c r="D229" s="424"/>
      <c r="E229" s="424"/>
      <c r="F229" s="424"/>
      <c r="G229" s="424"/>
      <c r="H229" s="149" t="s">
        <v>177</v>
      </c>
      <c r="I229" s="269">
        <f>(I116*I119*$H$20*I124/1000)/I29</f>
        <v>0</v>
      </c>
      <c r="J229" s="269">
        <f t="shared" ref="J229:R229" si="60">(J116*J119*$H$20*J124/1000)/J29</f>
        <v>0</v>
      </c>
      <c r="K229" s="269">
        <f t="shared" si="60"/>
        <v>0</v>
      </c>
      <c r="L229" s="269">
        <f t="shared" si="60"/>
        <v>0</v>
      </c>
      <c r="M229" s="269">
        <f t="shared" si="60"/>
        <v>0</v>
      </c>
      <c r="N229" s="269">
        <f t="shared" si="60"/>
        <v>0</v>
      </c>
      <c r="O229" s="269">
        <f t="shared" si="60"/>
        <v>0</v>
      </c>
      <c r="P229" s="269">
        <f t="shared" si="60"/>
        <v>0</v>
      </c>
      <c r="Q229" s="269">
        <f t="shared" si="60"/>
        <v>0</v>
      </c>
      <c r="R229" s="269">
        <f t="shared" si="60"/>
        <v>0</v>
      </c>
      <c r="S229" s="113"/>
      <c r="T229" s="113"/>
    </row>
    <row r="230" spans="2:20" x14ac:dyDescent="0.25">
      <c r="B230" s="159"/>
      <c r="C230" s="163" t="s">
        <v>186</v>
      </c>
      <c r="D230" s="162"/>
      <c r="E230" s="162"/>
      <c r="F230" s="162"/>
      <c r="G230" s="162"/>
      <c r="H230" s="159" t="s">
        <v>177</v>
      </c>
      <c r="I230" s="269">
        <f>(I128*I131*$H$20*I136/1000)/I29</f>
        <v>0</v>
      </c>
      <c r="J230" s="269">
        <f t="shared" ref="J230:R230" si="61">(J128*J131*$H$20*J136/1000)/J29</f>
        <v>0</v>
      </c>
      <c r="K230" s="269">
        <f t="shared" si="61"/>
        <v>0</v>
      </c>
      <c r="L230" s="269">
        <f t="shared" si="61"/>
        <v>0</v>
      </c>
      <c r="M230" s="269">
        <f t="shared" si="61"/>
        <v>0</v>
      </c>
      <c r="N230" s="269">
        <f t="shared" si="61"/>
        <v>0</v>
      </c>
      <c r="O230" s="269">
        <f t="shared" si="61"/>
        <v>0</v>
      </c>
      <c r="P230" s="269">
        <f t="shared" si="61"/>
        <v>0</v>
      </c>
      <c r="Q230" s="269">
        <f t="shared" si="61"/>
        <v>0</v>
      </c>
      <c r="R230" s="269">
        <f t="shared" si="61"/>
        <v>0</v>
      </c>
      <c r="S230" s="113"/>
      <c r="T230" s="113"/>
    </row>
    <row r="231" spans="2:20" x14ac:dyDescent="0.25">
      <c r="B231" s="159"/>
      <c r="C231" s="425" t="s">
        <v>187</v>
      </c>
      <c r="D231" s="424"/>
      <c r="E231" s="424"/>
      <c r="F231" s="424"/>
      <c r="G231" s="424"/>
      <c r="H231" s="149" t="s">
        <v>177</v>
      </c>
      <c r="I231" s="269">
        <f>(I140*I143*$H$20*I148/1000)/I29</f>
        <v>0</v>
      </c>
      <c r="J231" s="269">
        <f t="shared" ref="J231:R231" si="62">(J140*J143*$H$20*J148/1000)/J29</f>
        <v>0</v>
      </c>
      <c r="K231" s="269">
        <f t="shared" si="62"/>
        <v>0</v>
      </c>
      <c r="L231" s="269">
        <f t="shared" si="62"/>
        <v>0</v>
      </c>
      <c r="M231" s="269">
        <f t="shared" si="62"/>
        <v>0</v>
      </c>
      <c r="N231" s="269">
        <f t="shared" si="62"/>
        <v>0</v>
      </c>
      <c r="O231" s="269">
        <f t="shared" si="62"/>
        <v>0</v>
      </c>
      <c r="P231" s="269">
        <f t="shared" si="62"/>
        <v>0</v>
      </c>
      <c r="Q231" s="269">
        <f t="shared" si="62"/>
        <v>0</v>
      </c>
      <c r="R231" s="269">
        <f t="shared" si="62"/>
        <v>0</v>
      </c>
      <c r="S231" s="113"/>
      <c r="T231" s="113"/>
    </row>
    <row r="232" spans="2:20" ht="12.75" x14ac:dyDescent="0.2">
      <c r="B232" s="306"/>
      <c r="C232" s="453" t="s">
        <v>188</v>
      </c>
      <c r="D232" s="453"/>
      <c r="E232" s="453"/>
      <c r="F232" s="453"/>
      <c r="G232" s="453"/>
      <c r="H232" s="306" t="s">
        <v>123</v>
      </c>
      <c r="I232" s="311">
        <f>I218+I202</f>
        <v>0</v>
      </c>
      <c r="J232" s="311"/>
      <c r="K232" s="311"/>
      <c r="L232" s="311"/>
      <c r="M232" s="311"/>
      <c r="N232" s="311"/>
      <c r="O232" s="311"/>
      <c r="P232" s="311"/>
      <c r="Q232" s="311"/>
      <c r="R232" s="311"/>
      <c r="S232" s="308"/>
      <c r="T232" s="308"/>
    </row>
    <row r="233" spans="2:20" x14ac:dyDescent="0.2">
      <c r="B233" s="179"/>
      <c r="C233" s="180" t="s">
        <v>189</v>
      </c>
      <c r="D233" s="180"/>
      <c r="E233" s="180"/>
      <c r="F233" s="180"/>
      <c r="G233" s="180"/>
      <c r="H233" s="180" t="s">
        <v>123</v>
      </c>
      <c r="I233" s="232">
        <f>I232+I181</f>
        <v>0</v>
      </c>
      <c r="J233" s="232"/>
      <c r="K233" s="232"/>
      <c r="L233" s="232"/>
      <c r="M233" s="232"/>
      <c r="N233" s="232"/>
      <c r="O233" s="232"/>
      <c r="P233" s="232"/>
      <c r="Q233" s="232"/>
      <c r="R233" s="232"/>
      <c r="S233" s="232"/>
      <c r="T233" s="232"/>
    </row>
    <row r="234" spans="2:20" x14ac:dyDescent="0.25">
      <c r="C234" s="233"/>
      <c r="D234" s="233"/>
      <c r="E234" s="234"/>
      <c r="F234" s="234"/>
      <c r="G234" s="234"/>
      <c r="H234" s="234"/>
      <c r="I234" s="233"/>
      <c r="J234" s="235"/>
      <c r="K234" s="236"/>
    </row>
    <row r="235" spans="2:20" x14ac:dyDescent="0.25">
      <c r="F235" s="238"/>
      <c r="G235" s="238"/>
      <c r="H235" s="238"/>
      <c r="I235" s="239"/>
      <c r="J235" s="235"/>
      <c r="K235" s="236"/>
    </row>
    <row r="237" spans="2:20" x14ac:dyDescent="0.25">
      <c r="I237" s="237" t="s">
        <v>95</v>
      </c>
    </row>
    <row r="238" spans="2:20" x14ac:dyDescent="0.25">
      <c r="I238" s="237" t="s">
        <v>190</v>
      </c>
    </row>
    <row r="239" spans="2:20" x14ac:dyDescent="0.25">
      <c r="I239" s="237" t="s">
        <v>191</v>
      </c>
    </row>
    <row r="240" spans="2:20" x14ac:dyDescent="0.25">
      <c r="I240" s="237" t="s">
        <v>192</v>
      </c>
    </row>
    <row r="243" spans="9:13" x14ac:dyDescent="0.25">
      <c r="I243" s="237"/>
      <c r="J243" s="237"/>
      <c r="L243" s="237"/>
      <c r="M243" s="237"/>
    </row>
  </sheetData>
  <sheetProtection algorithmName="SHA-512" hashValue="hVOUms2bID5B1IhhqAcqQeiq0xfL67nloKnkgEiksmJ69oyqxqNfhEK7kfg0TDl46lIRLoKOOAe+ga/hObDhlQ==" saltValue="Xoy1vhdcibTOK0WBuyEdsA==" spinCount="100000" sheet="1" objects="1" scenarios="1"/>
  <mergeCells count="63">
    <mergeCell ref="C11:E11"/>
    <mergeCell ref="F11:I11"/>
    <mergeCell ref="C6:D6"/>
    <mergeCell ref="E6:G6"/>
    <mergeCell ref="H6:I6"/>
    <mergeCell ref="C9:H9"/>
    <mergeCell ref="C10:H10"/>
    <mergeCell ref="C21:G21"/>
    <mergeCell ref="C12:E12"/>
    <mergeCell ref="F12:I12"/>
    <mergeCell ref="C13:E13"/>
    <mergeCell ref="F13:I13"/>
    <mergeCell ref="C14:H14"/>
    <mergeCell ref="C15:G15"/>
    <mergeCell ref="C16:G16"/>
    <mergeCell ref="C17:G17"/>
    <mergeCell ref="C18:G18"/>
    <mergeCell ref="C19:G19"/>
    <mergeCell ref="C20:G20"/>
    <mergeCell ref="C172:G172"/>
    <mergeCell ref="C24:H24"/>
    <mergeCell ref="C154:D154"/>
    <mergeCell ref="C156:G156"/>
    <mergeCell ref="C160:G160"/>
    <mergeCell ref="C163:G163"/>
    <mergeCell ref="C165:G165"/>
    <mergeCell ref="C167:G167"/>
    <mergeCell ref="C168:G168"/>
    <mergeCell ref="C169:G169"/>
    <mergeCell ref="C170:G170"/>
    <mergeCell ref="C171:G171"/>
    <mergeCell ref="C186:G186"/>
    <mergeCell ref="C173:G173"/>
    <mergeCell ref="C174:G174"/>
    <mergeCell ref="C175:G175"/>
    <mergeCell ref="C176:G176"/>
    <mergeCell ref="C177:G177"/>
    <mergeCell ref="C178:G178"/>
    <mergeCell ref="C179:G179"/>
    <mergeCell ref="C181:G181"/>
    <mergeCell ref="C182:G182"/>
    <mergeCell ref="C183:G183"/>
    <mergeCell ref="C185:G185"/>
    <mergeCell ref="C210:G210"/>
    <mergeCell ref="C187:G187"/>
    <mergeCell ref="C188:G188"/>
    <mergeCell ref="C189:G189"/>
    <mergeCell ref="C190:G190"/>
    <mergeCell ref="C191:G191"/>
    <mergeCell ref="C192:G192"/>
    <mergeCell ref="C193:G193"/>
    <mergeCell ref="C194:G194"/>
    <mergeCell ref="C195:G195"/>
    <mergeCell ref="C206:G206"/>
    <mergeCell ref="C208:G208"/>
    <mergeCell ref="C231:G231"/>
    <mergeCell ref="C232:G232"/>
    <mergeCell ref="C212:G212"/>
    <mergeCell ref="C214:G214"/>
    <mergeCell ref="C223:G223"/>
    <mergeCell ref="C225:G225"/>
    <mergeCell ref="C227:G227"/>
    <mergeCell ref="C229:G229"/>
  </mergeCells>
  <dataValidations count="4">
    <dataValidation allowBlank="1" showInputMessage="1" showErrorMessage="1" prompt="Markera cell till vänster för att välja pris i dropdown-menyn" sqref="G17" xr:uid="{A8FFF49D-5DA8-4886-A1E1-8A39EBDBC1A2}"/>
    <dataValidation type="list" allowBlank="1" showInputMessage="1" showErrorMessage="1" sqref="I48:R48 I144:R144 I120:R120 I96:R96 I72:R72 I132:R132 I60:R60 I84:R84 I108:R108 I36:R36" xr:uid="{A6514AB4-00C8-466A-A46F-16F080F03726}">
      <formula1>$I$237:$I$240</formula1>
    </dataValidation>
    <dataValidation type="list" allowBlank="1" showInputMessage="1" showErrorMessage="1" sqref="I27:R27" xr:uid="{83E33C34-CADD-4DEE-A16F-A8ABB484D4B3}">
      <formula1>INDIRECT(I$26)</formula1>
    </dataValidation>
    <dataValidation type="list" allowBlank="1" showInputMessage="1" showErrorMessage="1" promptTitle="Byggnadstyp" prompt="Välj ett från listan eller skriv in eget i raden under." sqref="L17" xr:uid="{56E72C01-0B2A-448B-945C-A8F4E09561F2}">
      <formula1>$K$10:$K$14</formula1>
    </dataValidation>
  </dataValidations>
  <pageMargins left="0.75" right="0.75" top="1" bottom="1" header="0.5" footer="0.5"/>
  <pageSetup paperSize="9" scale="35" orientation="portrait" horizontalDpi="1200" verticalDpi="1200"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C59824D-1E3E-4957-B8DF-A4109AEC790A}">
          <x14:formula1>
            <xm:f>'4. Reduktionsfaktorer, LENI-tal'!$Q$12:$T$12</xm:f>
          </x14:formula1>
          <xm:sqref>I25:R25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072FD-7E3D-43C6-ACD9-ACAF6AA15130}">
  <sheetPr>
    <tabColor rgb="FF6B2879"/>
  </sheetPr>
  <dimension ref="A1:T243"/>
  <sheetViews>
    <sheetView zoomScale="60" zoomScaleNormal="60" workbookViewId="0">
      <selection activeCell="K19" sqref="K19"/>
    </sheetView>
  </sheetViews>
  <sheetFormatPr defaultColWidth="9.140625" defaultRowHeight="15.75" x14ac:dyDescent="0.25"/>
  <cols>
    <col min="1" max="1" width="15.140625" style="189" customWidth="1"/>
    <col min="2" max="2" width="12.42578125" style="189" customWidth="1"/>
    <col min="3" max="3" width="10.42578125" style="189" customWidth="1"/>
    <col min="4" max="4" width="8.42578125" style="189" customWidth="1"/>
    <col min="5" max="5" width="8.140625" style="237" customWidth="1"/>
    <col min="6" max="6" width="10" style="237" customWidth="1"/>
    <col min="7" max="7" width="16.5703125" style="237" customWidth="1"/>
    <col min="8" max="8" width="8.85546875" style="237" customWidth="1"/>
    <col min="9" max="10" width="20.5703125" style="189" customWidth="1"/>
    <col min="11" max="11" width="20.5703125" style="240" customWidth="1"/>
    <col min="12" max="18" width="20.5703125" style="189" customWidth="1"/>
    <col min="19" max="16384" width="9.140625" style="189"/>
  </cols>
  <sheetData>
    <row r="1" spans="1:20" s="184" customFormat="1" ht="12.75" x14ac:dyDescent="0.2">
      <c r="A1" s="339" t="s">
        <v>0</v>
      </c>
    </row>
    <row r="2" spans="1:20" s="184" customFormat="1" ht="33.75" x14ac:dyDescent="0.5">
      <c r="G2" s="1" t="s">
        <v>1</v>
      </c>
    </row>
    <row r="3" spans="1:20" s="184" customFormat="1" ht="12.75" x14ac:dyDescent="0.2">
      <c r="G3" s="28" t="str">
        <f>'1. Introduktion'!G3</f>
        <v>Version 3.0</v>
      </c>
      <c r="H3" s="13"/>
      <c r="I3" s="13"/>
    </row>
    <row r="4" spans="1:20" s="184" customFormat="1" ht="12.75" x14ac:dyDescent="0.2">
      <c r="G4" s="28" t="str">
        <f>'1. Introduktion'!G4</f>
        <v>Datum: 2024-12-17</v>
      </c>
      <c r="H4" s="13"/>
      <c r="I4" s="28"/>
      <c r="K4" s="241"/>
    </row>
    <row r="5" spans="1:20" s="184" customFormat="1" ht="12.75" x14ac:dyDescent="0.2"/>
    <row r="6" spans="1:20" s="3" customFormat="1" ht="21" x14ac:dyDescent="0.35">
      <c r="C6" s="428"/>
      <c r="D6" s="428"/>
      <c r="E6" s="428"/>
      <c r="F6" s="428"/>
      <c r="G6" s="428"/>
      <c r="H6" s="429"/>
      <c r="I6" s="429"/>
      <c r="J6" s="9"/>
      <c r="K6" s="10"/>
      <c r="L6" s="10"/>
      <c r="M6" s="10"/>
      <c r="N6" s="10"/>
      <c r="O6" s="10"/>
      <c r="P6" s="10"/>
      <c r="Q6" s="10"/>
      <c r="R6" s="10"/>
    </row>
    <row r="7" spans="1:20" s="186" customFormat="1" ht="21" x14ac:dyDescent="0.35">
      <c r="C7" s="4"/>
      <c r="D7" s="4"/>
      <c r="E7" s="4"/>
      <c r="F7" s="4"/>
      <c r="G7" s="4"/>
      <c r="H7" s="187"/>
      <c r="I7" s="187"/>
      <c r="J7" s="4"/>
      <c r="K7" s="4"/>
      <c r="L7" s="4"/>
      <c r="M7" s="4"/>
      <c r="N7" s="4"/>
      <c r="O7" s="4"/>
      <c r="P7" s="4"/>
      <c r="Q7" s="4"/>
      <c r="R7" s="4"/>
    </row>
    <row r="8" spans="1:20" s="186" customFormat="1" ht="21" x14ac:dyDescent="0.35">
      <c r="B8" s="312"/>
      <c r="C8" s="95" t="s">
        <v>195</v>
      </c>
      <c r="D8" s="96"/>
      <c r="E8" s="96"/>
      <c r="F8" s="96"/>
      <c r="G8" s="96"/>
      <c r="H8" s="313"/>
      <c r="I8" s="313"/>
      <c r="J8" s="96"/>
      <c r="K8" s="96"/>
      <c r="L8" s="96"/>
      <c r="M8" s="96"/>
      <c r="N8" s="96"/>
      <c r="O8" s="96"/>
      <c r="P8" s="96"/>
      <c r="Q8" s="96"/>
      <c r="R8" s="96"/>
      <c r="S8" s="96"/>
      <c r="T8" s="96"/>
    </row>
    <row r="9" spans="1:20" ht="12.75" x14ac:dyDescent="0.2">
      <c r="B9" s="138"/>
      <c r="C9" s="431"/>
      <c r="D9" s="431"/>
      <c r="E9" s="431"/>
      <c r="F9" s="431"/>
      <c r="G9" s="431"/>
      <c r="H9" s="431"/>
      <c r="I9" s="188"/>
      <c r="J9" s="138"/>
      <c r="K9" s="404"/>
      <c r="L9" s="404"/>
      <c r="M9" s="138"/>
      <c r="N9" s="138"/>
      <c r="O9" s="138"/>
      <c r="P9" s="138"/>
      <c r="Q9" s="138"/>
      <c r="R9" s="138"/>
      <c r="S9" s="138"/>
      <c r="T9" s="138"/>
    </row>
    <row r="10" spans="1:20" ht="21" x14ac:dyDescent="0.35">
      <c r="B10" s="138"/>
      <c r="C10" s="437" t="s">
        <v>22</v>
      </c>
      <c r="D10" s="437"/>
      <c r="E10" s="437"/>
      <c r="F10" s="437"/>
      <c r="G10" s="437"/>
      <c r="H10" s="437"/>
      <c r="I10" s="181"/>
      <c r="J10" s="138"/>
      <c r="K10" s="405" t="s">
        <v>23</v>
      </c>
      <c r="L10" s="406">
        <v>0</v>
      </c>
      <c r="M10" s="138"/>
      <c r="N10" s="138"/>
      <c r="O10" s="138"/>
      <c r="P10" s="138"/>
      <c r="Q10" s="138"/>
      <c r="R10" s="138"/>
      <c r="S10" s="138"/>
      <c r="T10" s="138"/>
    </row>
    <row r="11" spans="1:20" s="190" customFormat="1" x14ac:dyDescent="0.25">
      <c r="B11" s="138"/>
      <c r="C11" s="433" t="s">
        <v>24</v>
      </c>
      <c r="D11" s="433"/>
      <c r="E11" s="433"/>
      <c r="F11" s="434" t="s">
        <v>25</v>
      </c>
      <c r="G11" s="434"/>
      <c r="H11" s="434"/>
      <c r="I11" s="434"/>
      <c r="J11" s="138"/>
      <c r="K11" s="405" t="s">
        <v>26</v>
      </c>
      <c r="L11" s="406">
        <v>2500</v>
      </c>
      <c r="M11" s="138"/>
      <c r="N11" s="138"/>
      <c r="O11" s="138"/>
      <c r="P11" s="138"/>
      <c r="Q11" s="138"/>
      <c r="R11" s="138"/>
      <c r="S11" s="138"/>
      <c r="T11" s="138"/>
    </row>
    <row r="12" spans="1:20" s="190" customFormat="1" x14ac:dyDescent="0.25">
      <c r="B12" s="138"/>
      <c r="C12" s="433" t="s">
        <v>27</v>
      </c>
      <c r="D12" s="433"/>
      <c r="E12" s="433"/>
      <c r="F12" s="435" t="s">
        <v>28</v>
      </c>
      <c r="G12" s="435"/>
      <c r="H12" s="435"/>
      <c r="I12" s="435"/>
      <c r="J12" s="138"/>
      <c r="K12" s="405" t="s">
        <v>29</v>
      </c>
      <c r="L12" s="406">
        <v>2000</v>
      </c>
      <c r="M12" s="138"/>
      <c r="N12" s="138"/>
      <c r="O12" s="138"/>
      <c r="P12" s="138"/>
      <c r="Q12" s="138"/>
      <c r="R12" s="138"/>
      <c r="S12" s="138"/>
      <c r="T12" s="138"/>
    </row>
    <row r="13" spans="1:20" s="190" customFormat="1" x14ac:dyDescent="0.25">
      <c r="B13" s="138"/>
      <c r="C13" s="433" t="s">
        <v>30</v>
      </c>
      <c r="D13" s="433"/>
      <c r="E13" s="433"/>
      <c r="F13" s="434" t="s">
        <v>31</v>
      </c>
      <c r="G13" s="434"/>
      <c r="H13" s="434"/>
      <c r="I13" s="434"/>
      <c r="J13" s="138"/>
      <c r="K13" s="405" t="s">
        <v>32</v>
      </c>
      <c r="L13" s="406">
        <v>4000</v>
      </c>
      <c r="M13" s="138"/>
      <c r="N13" s="138"/>
      <c r="O13" s="138"/>
      <c r="P13" s="138"/>
      <c r="Q13" s="138"/>
      <c r="R13" s="138"/>
      <c r="S13" s="138"/>
      <c r="T13" s="138"/>
    </row>
    <row r="14" spans="1:20" ht="15" x14ac:dyDescent="0.25">
      <c r="B14" s="138"/>
      <c r="C14" s="432"/>
      <c r="D14" s="432"/>
      <c r="E14" s="432"/>
      <c r="F14" s="432"/>
      <c r="G14" s="432"/>
      <c r="H14" s="432"/>
      <c r="I14" s="188"/>
      <c r="J14" s="138"/>
      <c r="K14" s="405" t="s">
        <v>33</v>
      </c>
      <c r="L14" s="406">
        <v>5000</v>
      </c>
      <c r="M14" s="138"/>
      <c r="N14" s="138"/>
      <c r="O14" s="138"/>
      <c r="P14" s="138"/>
      <c r="Q14" s="138"/>
      <c r="R14" s="138"/>
      <c r="S14" s="138"/>
      <c r="T14" s="138"/>
    </row>
    <row r="15" spans="1:20" s="190" customFormat="1" x14ac:dyDescent="0.25">
      <c r="B15" s="116" t="s">
        <v>34</v>
      </c>
      <c r="C15" s="436" t="s">
        <v>35</v>
      </c>
      <c r="D15" s="436"/>
      <c r="E15" s="436"/>
      <c r="F15" s="436"/>
      <c r="G15" s="436"/>
      <c r="H15" s="7"/>
      <c r="I15" s="191" t="s">
        <v>36</v>
      </c>
      <c r="J15" s="138"/>
      <c r="K15" s="397"/>
      <c r="L15" s="397"/>
      <c r="M15" s="138"/>
      <c r="N15" s="138"/>
      <c r="O15" s="138"/>
      <c r="P15" s="138"/>
      <c r="Q15" s="138"/>
      <c r="R15" s="138"/>
      <c r="S15" s="138"/>
      <c r="T15" s="138"/>
    </row>
    <row r="16" spans="1:20" s="190" customFormat="1" x14ac:dyDescent="0.25">
      <c r="B16" s="116" t="s">
        <v>37</v>
      </c>
      <c r="C16" s="436" t="s">
        <v>38</v>
      </c>
      <c r="D16" s="436"/>
      <c r="E16" s="436"/>
      <c r="F16" s="436"/>
      <c r="G16" s="436"/>
      <c r="H16" s="60">
        <v>0.05</v>
      </c>
      <c r="I16" s="192"/>
      <c r="J16" s="138"/>
      <c r="K16" s="398" t="s">
        <v>39</v>
      </c>
      <c r="L16" s="397"/>
      <c r="M16" s="138"/>
      <c r="N16" s="138"/>
      <c r="O16" s="138"/>
      <c r="P16" s="138"/>
      <c r="Q16" s="138"/>
      <c r="R16" s="138"/>
      <c r="S16" s="138"/>
      <c r="T16" s="138"/>
    </row>
    <row r="17" spans="2:20" s="190" customFormat="1" x14ac:dyDescent="0.25">
      <c r="B17" s="116" t="s">
        <v>40</v>
      </c>
      <c r="C17" s="436" t="s">
        <v>41</v>
      </c>
      <c r="D17" s="436"/>
      <c r="E17" s="436"/>
      <c r="F17" s="436"/>
      <c r="G17" s="436"/>
      <c r="H17" s="11"/>
      <c r="I17" s="191" t="s">
        <v>42</v>
      </c>
      <c r="J17" s="138"/>
      <c r="K17" s="399" t="s">
        <v>23</v>
      </c>
      <c r="L17" s="400" t="s">
        <v>23</v>
      </c>
      <c r="M17" s="138"/>
      <c r="N17" s="138"/>
      <c r="O17" s="138"/>
      <c r="P17" s="138"/>
      <c r="Q17" s="138"/>
      <c r="R17" s="138"/>
      <c r="S17" s="138"/>
      <c r="T17" s="138"/>
    </row>
    <row r="18" spans="2:20" s="190" customFormat="1" x14ac:dyDescent="0.25">
      <c r="B18" s="116" t="s">
        <v>43</v>
      </c>
      <c r="C18" s="436" t="s">
        <v>44</v>
      </c>
      <c r="D18" s="436"/>
      <c r="E18" s="436"/>
      <c r="F18" s="436"/>
      <c r="G18" s="436"/>
      <c r="H18" s="8"/>
      <c r="I18" s="192"/>
      <c r="J18" s="138"/>
      <c r="K18" s="401" t="s">
        <v>45</v>
      </c>
      <c r="L18" s="400"/>
      <c r="M18" s="138"/>
      <c r="N18" s="138"/>
      <c r="O18" s="138"/>
      <c r="P18" s="138"/>
      <c r="Q18" s="138"/>
      <c r="R18" s="138"/>
      <c r="S18" s="138"/>
      <c r="T18" s="138"/>
    </row>
    <row r="19" spans="2:20" s="190" customFormat="1" x14ac:dyDescent="0.25">
      <c r="B19" s="116" t="s">
        <v>46</v>
      </c>
      <c r="C19" s="436" t="s">
        <v>47</v>
      </c>
      <c r="D19" s="436"/>
      <c r="E19" s="436"/>
      <c r="F19" s="436"/>
      <c r="G19" s="436"/>
      <c r="H19" s="11"/>
      <c r="I19" s="193" t="s">
        <v>48</v>
      </c>
      <c r="J19" s="138"/>
      <c r="K19" s="402" t="s">
        <v>49</v>
      </c>
      <c r="L19" s="403">
        <f>IF(ISBLANK($L$18),VLOOKUP($L$17,$K$10:$L$14,2),$L$18)</f>
        <v>0</v>
      </c>
      <c r="M19" s="138"/>
      <c r="N19" s="138"/>
      <c r="O19" s="138"/>
      <c r="P19" s="138"/>
      <c r="Q19" s="138"/>
      <c r="R19" s="138"/>
      <c r="S19" s="138"/>
      <c r="T19" s="138"/>
    </row>
    <row r="20" spans="2:20" s="190" customFormat="1" x14ac:dyDescent="0.25">
      <c r="B20" s="116" t="s">
        <v>50</v>
      </c>
      <c r="C20" s="436" t="s">
        <v>51</v>
      </c>
      <c r="D20" s="436"/>
      <c r="E20" s="436"/>
      <c r="F20" s="436"/>
      <c r="G20" s="436"/>
      <c r="H20" s="12">
        <f>$L$19</f>
        <v>0</v>
      </c>
      <c r="I20" s="193" t="s">
        <v>52</v>
      </c>
      <c r="J20" s="138"/>
      <c r="K20" s="113"/>
      <c r="L20" s="113"/>
      <c r="M20" s="138"/>
      <c r="N20" s="138"/>
      <c r="O20" s="138"/>
      <c r="P20" s="138"/>
      <c r="Q20" s="138"/>
      <c r="R20" s="138"/>
      <c r="S20" s="138"/>
      <c r="T20" s="138"/>
    </row>
    <row r="21" spans="2:20" s="190" customFormat="1" x14ac:dyDescent="0.25">
      <c r="B21" s="138"/>
      <c r="C21" s="430"/>
      <c r="D21" s="430"/>
      <c r="E21" s="430"/>
      <c r="F21" s="430"/>
      <c r="G21" s="430"/>
      <c r="H21" s="153"/>
      <c r="I21" s="194"/>
      <c r="J21" s="138"/>
      <c r="K21" s="138"/>
      <c r="L21" s="138"/>
      <c r="M21" s="138"/>
      <c r="N21" s="138"/>
      <c r="O21" s="138"/>
      <c r="P21" s="138"/>
      <c r="Q21" s="138"/>
      <c r="R21" s="138"/>
      <c r="S21" s="138"/>
      <c r="T21" s="138"/>
    </row>
    <row r="22" spans="2:20" s="190" customFormat="1" ht="21" x14ac:dyDescent="0.35">
      <c r="B22" s="314"/>
      <c r="C22" s="315" t="s">
        <v>53</v>
      </c>
      <c r="D22" s="316"/>
      <c r="E22" s="316"/>
      <c r="F22" s="316"/>
      <c r="G22" s="314"/>
      <c r="H22" s="314"/>
      <c r="I22" s="314"/>
      <c r="J22" s="314"/>
      <c r="K22" s="314"/>
      <c r="L22" s="314"/>
      <c r="M22" s="314"/>
      <c r="N22" s="314"/>
      <c r="O22" s="314"/>
      <c r="P22" s="314"/>
      <c r="Q22" s="314"/>
      <c r="R22" s="314"/>
      <c r="S22" s="314"/>
      <c r="T22" s="314"/>
    </row>
    <row r="23" spans="2:20" s="190" customFormat="1" ht="21" x14ac:dyDescent="0.25">
      <c r="B23" s="113"/>
      <c r="C23" s="114"/>
      <c r="D23" s="113"/>
      <c r="E23" s="113"/>
      <c r="F23" s="113"/>
      <c r="G23" s="113"/>
      <c r="H23" s="113"/>
      <c r="I23" s="113"/>
      <c r="J23" s="113"/>
      <c r="K23" s="113"/>
      <c r="L23" s="113"/>
      <c r="M23" s="113"/>
      <c r="N23" s="113"/>
      <c r="O23" s="113"/>
      <c r="P23" s="113"/>
      <c r="Q23" s="113"/>
      <c r="R23" s="113"/>
      <c r="S23" s="113"/>
      <c r="T23" s="113"/>
    </row>
    <row r="24" spans="2:20" s="190" customFormat="1" x14ac:dyDescent="0.25">
      <c r="B24" s="113"/>
      <c r="C24" s="438" t="s">
        <v>54</v>
      </c>
      <c r="D24" s="438"/>
      <c r="E24" s="438"/>
      <c r="F24" s="438"/>
      <c r="G24" s="438"/>
      <c r="H24" s="438"/>
      <c r="I24" s="113"/>
      <c r="J24" s="113"/>
      <c r="K24" s="113"/>
      <c r="L24" s="113"/>
      <c r="M24" s="113"/>
      <c r="N24" s="113"/>
      <c r="O24" s="113"/>
      <c r="P24" s="113"/>
      <c r="Q24" s="113"/>
      <c r="R24" s="113"/>
      <c r="S24" s="113"/>
      <c r="T24" s="113"/>
    </row>
    <row r="25" spans="2:20" s="190" customFormat="1" x14ac:dyDescent="0.25">
      <c r="B25" s="116"/>
      <c r="C25" s="117" t="s">
        <v>23</v>
      </c>
      <c r="D25" s="118"/>
      <c r="E25" s="118"/>
      <c r="F25" s="118"/>
      <c r="G25" s="119"/>
      <c r="H25" s="119"/>
      <c r="I25" s="242" t="s">
        <v>55</v>
      </c>
      <c r="J25" s="242" t="s">
        <v>56</v>
      </c>
      <c r="K25" s="242" t="s">
        <v>57</v>
      </c>
      <c r="L25" s="242" t="s">
        <v>58</v>
      </c>
      <c r="M25" s="242" t="s">
        <v>59</v>
      </c>
      <c r="N25" s="242" t="s">
        <v>60</v>
      </c>
      <c r="O25" s="242" t="s">
        <v>61</v>
      </c>
      <c r="P25" s="242" t="s">
        <v>62</v>
      </c>
      <c r="Q25" s="242" t="s">
        <v>63</v>
      </c>
      <c r="R25" s="242" t="s">
        <v>64</v>
      </c>
      <c r="S25" s="113"/>
      <c r="T25" s="113"/>
    </row>
    <row r="26" spans="2:20" s="190" customFormat="1" x14ac:dyDescent="0.25">
      <c r="B26" s="116"/>
      <c r="C26" s="117" t="s">
        <v>65</v>
      </c>
      <c r="D26" s="118"/>
      <c r="E26" s="118"/>
      <c r="F26" s="118"/>
      <c r="G26" s="119"/>
      <c r="H26" s="119"/>
      <c r="I26" s="71" t="str">
        <f>SUBSTITUTE(I25," ","_")</f>
        <v>Byggnadstyp_1</v>
      </c>
      <c r="J26" s="71" t="str">
        <f t="shared" ref="J26:R26" si="0">SUBSTITUTE(J25," ","_")</f>
        <v>Byggnadstyp_2</v>
      </c>
      <c r="K26" s="71" t="str">
        <f t="shared" si="0"/>
        <v>Byggnadstyp_3</v>
      </c>
      <c r="L26" s="71" t="str">
        <f t="shared" si="0"/>
        <v>Byggnadstyp_4</v>
      </c>
      <c r="M26" s="71" t="str">
        <f t="shared" si="0"/>
        <v>Byggnadstyp_5</v>
      </c>
      <c r="N26" s="71" t="str">
        <f t="shared" si="0"/>
        <v>Byggnadstyp_6</v>
      </c>
      <c r="O26" s="71" t="str">
        <f t="shared" si="0"/>
        <v>Byggnadstyp_7</v>
      </c>
      <c r="P26" s="71" t="str">
        <f t="shared" si="0"/>
        <v>Byggnadstyp_8</v>
      </c>
      <c r="Q26" s="71" t="str">
        <f t="shared" si="0"/>
        <v>Byggnadstyp_9</v>
      </c>
      <c r="R26" s="71" t="str">
        <f t="shared" si="0"/>
        <v>Byggnadstyp_10</v>
      </c>
      <c r="S26" s="113"/>
      <c r="T26" s="113"/>
    </row>
    <row r="27" spans="2:20" s="190" customFormat="1" x14ac:dyDescent="0.25">
      <c r="B27" s="116"/>
      <c r="C27" s="117" t="s">
        <v>66</v>
      </c>
      <c r="D27" s="118"/>
      <c r="E27" s="118"/>
      <c r="F27" s="118"/>
      <c r="G27" s="119"/>
      <c r="H27" s="119"/>
      <c r="I27" s="242" t="s">
        <v>67</v>
      </c>
      <c r="J27" s="242" t="s">
        <v>68</v>
      </c>
      <c r="K27" s="242" t="s">
        <v>69</v>
      </c>
      <c r="L27" s="242" t="s">
        <v>70</v>
      </c>
      <c r="M27" s="242" t="s">
        <v>71</v>
      </c>
      <c r="N27" s="242" t="s">
        <v>72</v>
      </c>
      <c r="O27" s="242" t="s">
        <v>73</v>
      </c>
      <c r="P27" s="242" t="s">
        <v>74</v>
      </c>
      <c r="Q27" s="242" t="s">
        <v>75</v>
      </c>
      <c r="R27" s="242" t="s">
        <v>76</v>
      </c>
      <c r="S27" s="113"/>
      <c r="T27" s="113"/>
    </row>
    <row r="28" spans="2:20" s="190" customFormat="1" x14ac:dyDescent="0.25">
      <c r="B28" s="116"/>
      <c r="C28" s="120" t="s">
        <v>77</v>
      </c>
      <c r="D28" s="121"/>
      <c r="E28" s="121"/>
      <c r="F28" s="121"/>
      <c r="G28" s="122"/>
      <c r="H28" s="122" t="s">
        <v>78</v>
      </c>
      <c r="I28" s="182">
        <v>1</v>
      </c>
      <c r="J28" s="182">
        <v>1</v>
      </c>
      <c r="K28" s="182">
        <v>1</v>
      </c>
      <c r="L28" s="182">
        <v>1</v>
      </c>
      <c r="M28" s="182">
        <v>1</v>
      </c>
      <c r="N28" s="182">
        <v>1</v>
      </c>
      <c r="O28" s="182">
        <v>1</v>
      </c>
      <c r="P28" s="182">
        <v>1</v>
      </c>
      <c r="Q28" s="182">
        <v>1</v>
      </c>
      <c r="R28" s="182">
        <v>1</v>
      </c>
      <c r="S28" s="113"/>
      <c r="T28" s="113"/>
    </row>
    <row r="29" spans="2:20" s="190" customFormat="1" x14ac:dyDescent="0.25">
      <c r="B29" s="116"/>
      <c r="C29" s="120" t="s">
        <v>79</v>
      </c>
      <c r="D29" s="121"/>
      <c r="E29" s="121"/>
      <c r="F29" s="121"/>
      <c r="G29" s="122"/>
      <c r="H29" s="122" t="s">
        <v>80</v>
      </c>
      <c r="I29" s="182">
        <v>1</v>
      </c>
      <c r="J29" s="182">
        <v>1</v>
      </c>
      <c r="K29" s="182">
        <v>1</v>
      </c>
      <c r="L29" s="182">
        <v>1</v>
      </c>
      <c r="M29" s="182">
        <v>1</v>
      </c>
      <c r="N29" s="182">
        <v>1</v>
      </c>
      <c r="O29" s="182">
        <v>1</v>
      </c>
      <c r="P29" s="182">
        <v>1</v>
      </c>
      <c r="Q29" s="182">
        <v>1</v>
      </c>
      <c r="R29" s="182">
        <v>1</v>
      </c>
      <c r="S29" s="113"/>
      <c r="T29" s="113"/>
    </row>
    <row r="30" spans="2:20" s="190" customFormat="1" x14ac:dyDescent="0.25">
      <c r="B30" s="116"/>
      <c r="C30" s="115" t="s">
        <v>81</v>
      </c>
      <c r="D30" s="123"/>
      <c r="E30" s="123"/>
      <c r="F30" s="123"/>
      <c r="G30" s="123"/>
      <c r="H30" s="123"/>
      <c r="I30" s="197"/>
      <c r="J30" s="197"/>
      <c r="K30" s="197"/>
      <c r="L30" s="197"/>
      <c r="M30" s="197"/>
      <c r="N30" s="197"/>
      <c r="O30" s="197"/>
      <c r="P30" s="197"/>
      <c r="Q30" s="197"/>
      <c r="R30" s="197"/>
      <c r="S30" s="113"/>
      <c r="T30" s="113"/>
    </row>
    <row r="31" spans="2:20" s="190" customFormat="1" x14ac:dyDescent="0.25">
      <c r="B31" s="116"/>
      <c r="C31" s="115" t="s">
        <v>82</v>
      </c>
      <c r="D31" s="123"/>
      <c r="E31" s="123"/>
      <c r="F31" s="123"/>
      <c r="G31" s="123"/>
      <c r="H31" s="123"/>
      <c r="I31" s="197"/>
      <c r="J31" s="197"/>
      <c r="K31" s="197"/>
      <c r="L31" s="197"/>
      <c r="M31" s="197"/>
      <c r="N31" s="197"/>
      <c r="O31" s="197"/>
      <c r="P31" s="197"/>
      <c r="Q31" s="197"/>
      <c r="R31" s="197"/>
      <c r="S31" s="113"/>
      <c r="T31" s="113"/>
    </row>
    <row r="32" spans="2:20" s="190" customFormat="1" x14ac:dyDescent="0.25">
      <c r="B32" s="116" t="s">
        <v>83</v>
      </c>
      <c r="C32" s="120" t="s">
        <v>84</v>
      </c>
      <c r="D32" s="121"/>
      <c r="E32" s="121"/>
      <c r="F32" s="121"/>
      <c r="G32" s="122"/>
      <c r="H32" s="122" t="s">
        <v>78</v>
      </c>
      <c r="I32" s="72"/>
      <c r="J32" s="72"/>
      <c r="K32" s="72"/>
      <c r="L32" s="72"/>
      <c r="M32" s="72"/>
      <c r="N32" s="72"/>
      <c r="O32" s="72"/>
      <c r="P32" s="72"/>
      <c r="Q32" s="72"/>
      <c r="R32" s="72"/>
      <c r="S32" s="113"/>
      <c r="T32" s="113"/>
    </row>
    <row r="33" spans="2:20" s="190" customFormat="1" x14ac:dyDescent="0.25">
      <c r="B33" s="116" t="s">
        <v>85</v>
      </c>
      <c r="C33" s="120" t="s">
        <v>86</v>
      </c>
      <c r="D33" s="121"/>
      <c r="E33" s="121"/>
      <c r="F33" s="121"/>
      <c r="G33" s="122"/>
      <c r="H33" s="122" t="s">
        <v>87</v>
      </c>
      <c r="I33" s="72"/>
      <c r="J33" s="72"/>
      <c r="K33" s="72"/>
      <c r="L33" s="72"/>
      <c r="M33" s="72"/>
      <c r="N33" s="72"/>
      <c r="O33" s="72"/>
      <c r="P33" s="72"/>
      <c r="Q33" s="72"/>
      <c r="R33" s="72"/>
      <c r="S33" s="113"/>
      <c r="T33" s="113"/>
    </row>
    <row r="34" spans="2:20" s="190" customFormat="1" x14ac:dyDescent="0.25">
      <c r="B34" s="116" t="s">
        <v>88</v>
      </c>
      <c r="C34" s="120" t="s">
        <v>89</v>
      </c>
      <c r="D34" s="121"/>
      <c r="E34" s="121"/>
      <c r="F34" s="121"/>
      <c r="G34" s="122"/>
      <c r="H34" s="122" t="s">
        <v>87</v>
      </c>
      <c r="I34" s="72"/>
      <c r="J34" s="72"/>
      <c r="K34" s="72"/>
      <c r="L34" s="72"/>
      <c r="M34" s="72"/>
      <c r="N34" s="72"/>
      <c r="O34" s="72"/>
      <c r="P34" s="72"/>
      <c r="Q34" s="72"/>
      <c r="R34" s="72"/>
      <c r="S34" s="113"/>
      <c r="T34" s="113"/>
    </row>
    <row r="35" spans="2:20" s="190" customFormat="1" x14ac:dyDescent="0.25">
      <c r="B35" s="116" t="s">
        <v>90</v>
      </c>
      <c r="C35" s="120" t="s">
        <v>91</v>
      </c>
      <c r="D35" s="121"/>
      <c r="E35" s="121"/>
      <c r="F35" s="121"/>
      <c r="G35" s="122"/>
      <c r="H35" s="122" t="s">
        <v>92</v>
      </c>
      <c r="I35" s="72"/>
      <c r="J35" s="72"/>
      <c r="K35" s="72"/>
      <c r="L35" s="72"/>
      <c r="M35" s="72"/>
      <c r="N35" s="72"/>
      <c r="O35" s="72"/>
      <c r="P35" s="72"/>
      <c r="Q35" s="72"/>
      <c r="R35" s="72"/>
      <c r="S35" s="113"/>
      <c r="T35" s="113"/>
    </row>
    <row r="36" spans="2:20" s="190" customFormat="1" x14ac:dyDescent="0.25">
      <c r="B36" s="116" t="s">
        <v>93</v>
      </c>
      <c r="C36" s="120" t="s">
        <v>94</v>
      </c>
      <c r="D36" s="121"/>
      <c r="E36" s="121"/>
      <c r="F36" s="121"/>
      <c r="G36" s="122"/>
      <c r="H36" s="122"/>
      <c r="I36" s="72" t="s">
        <v>95</v>
      </c>
      <c r="J36" s="72" t="s">
        <v>95</v>
      </c>
      <c r="K36" s="72" t="s">
        <v>95</v>
      </c>
      <c r="L36" s="72" t="s">
        <v>95</v>
      </c>
      <c r="M36" s="72" t="s">
        <v>95</v>
      </c>
      <c r="N36" s="72" t="s">
        <v>95</v>
      </c>
      <c r="O36" s="72" t="s">
        <v>95</v>
      </c>
      <c r="P36" s="72" t="s">
        <v>95</v>
      </c>
      <c r="Q36" s="72" t="s">
        <v>95</v>
      </c>
      <c r="R36" s="72" t="s">
        <v>95</v>
      </c>
      <c r="S36" s="113"/>
      <c r="T36" s="113"/>
    </row>
    <row r="37" spans="2:20" s="190" customFormat="1" ht="24.75" x14ac:dyDescent="0.25">
      <c r="B37" s="116" t="s">
        <v>96</v>
      </c>
      <c r="C37" s="120" t="s">
        <v>97</v>
      </c>
      <c r="D37" s="121"/>
      <c r="E37" s="121"/>
      <c r="F37" s="121"/>
      <c r="G37" s="122"/>
      <c r="H37" s="122"/>
      <c r="I37" s="72" t="str" cm="1">
        <f t="array" ref="I37">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37" s="72" t="str" cm="1">
        <f t="array" ref="J37">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37" s="72" t="str" cm="1">
        <f t="array" ref="K37">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37" s="72" t="str" cm="1">
        <f t="array" ref="L37">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37" s="72" t="str" cm="1">
        <f t="array" ref="M37">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37" s="72" t="str" cm="1">
        <f t="array" ref="N37">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37" s="72" t="str" cm="1">
        <f t="array" ref="O37">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37" s="72" t="str" cm="1">
        <f t="array" ref="P37">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37" s="72" t="str" cm="1">
        <f t="array" ref="Q37">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37" s="72" t="str" cm="1">
        <f t="array" ref="R37">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37" s="113"/>
      <c r="T37" s="113"/>
    </row>
    <row r="38" spans="2:20" s="190" customFormat="1" ht="24.75" x14ac:dyDescent="0.25">
      <c r="B38" s="116" t="s">
        <v>98</v>
      </c>
      <c r="C38" s="120" t="s">
        <v>99</v>
      </c>
      <c r="D38" s="121"/>
      <c r="E38" s="121"/>
      <c r="F38" s="121"/>
      <c r="G38" s="122"/>
      <c r="H38" s="122"/>
      <c r="I38" s="72" t="str" cm="1">
        <f t="array" ref="I38">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38" s="72" t="str" cm="1">
        <f t="array" ref="J38">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38" s="72" t="str" cm="1">
        <f t="array" ref="K38">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38" s="72" t="str" cm="1">
        <f t="array" ref="L38">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38" s="72" t="str" cm="1">
        <f t="array" ref="M38">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38" s="72" t="str" cm="1">
        <f t="array" ref="N38">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38" s="72" t="str" cm="1">
        <f t="array" ref="O38">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38" s="72" t="str" cm="1">
        <f t="array" ref="P38">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38" s="72" t="str" cm="1">
        <f t="array" ref="Q38">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38" s="72" t="str" cm="1">
        <f t="array" ref="R38">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38" s="113"/>
      <c r="T38" s="113"/>
    </row>
    <row r="39" spans="2:20" s="190" customFormat="1" ht="24.75" x14ac:dyDescent="0.25">
      <c r="B39" s="116" t="s">
        <v>100</v>
      </c>
      <c r="C39" s="120" t="s">
        <v>101</v>
      </c>
      <c r="D39" s="121"/>
      <c r="E39" s="121"/>
      <c r="F39" s="121"/>
      <c r="G39" s="122"/>
      <c r="H39" s="122"/>
      <c r="I39" s="72" t="str" cm="1">
        <f t="array" ref="I39">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39" s="72" t="str" cm="1">
        <f t="array" ref="J39">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39" s="72" t="str" cm="1">
        <f t="array" ref="K39">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39" s="72" t="str" cm="1">
        <f t="array" ref="L39">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39" s="72" t="str" cm="1">
        <f t="array" ref="M39">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39" s="72" t="str" cm="1">
        <f t="array" ref="N39">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39" s="72" t="str" cm="1">
        <f t="array" ref="O39">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39" s="72" t="str" cm="1">
        <f t="array" ref="P39">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39" s="72" t="str" cm="1">
        <f t="array" ref="Q39">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39" s="72" t="str" cm="1">
        <f t="array" ref="R39">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39" s="113"/>
      <c r="T39" s="113"/>
    </row>
    <row r="40" spans="2:20" s="190" customFormat="1" x14ac:dyDescent="0.25">
      <c r="B40" s="116" t="s">
        <v>102</v>
      </c>
      <c r="C40" s="124" t="s">
        <v>103</v>
      </c>
      <c r="D40" s="121"/>
      <c r="E40" s="121"/>
      <c r="F40" s="121"/>
      <c r="G40" s="122"/>
      <c r="H40" s="122"/>
      <c r="I40" s="183">
        <f>IF(IF(I36=$I$238,I37,IF(I36=$I$239,I37*I38,IF(I36=$I$240,I37*I38*I39,1)))=0,"Fyll i 2.6-2.8",IF(I36=$I$238,I37,IF(I36=$I$239,I37*I38,IF(I36=$I$240,I37*I38*I39,1))))</f>
        <v>1</v>
      </c>
      <c r="J40" s="183">
        <f t="shared" ref="J40:R40" si="1">IF(IF(J36=$I$238,J37,IF(J36=$I$239,J37*J38,IF(J36=$I$240,J37*J38*J39,1)))=0,"Fyll i 2.6-2.8",IF(J36=$I$238,J37,IF(J36=$I$239,J37*J38,IF(J36=$I$240,J37*J38*J39,1))))</f>
        <v>1</v>
      </c>
      <c r="K40" s="183">
        <f t="shared" si="1"/>
        <v>1</v>
      </c>
      <c r="L40" s="183">
        <f t="shared" si="1"/>
        <v>1</v>
      </c>
      <c r="M40" s="183">
        <f t="shared" si="1"/>
        <v>1</v>
      </c>
      <c r="N40" s="183">
        <f t="shared" si="1"/>
        <v>1</v>
      </c>
      <c r="O40" s="183">
        <f t="shared" si="1"/>
        <v>1</v>
      </c>
      <c r="P40" s="183">
        <f t="shared" si="1"/>
        <v>1</v>
      </c>
      <c r="Q40" s="183">
        <f t="shared" si="1"/>
        <v>1</v>
      </c>
      <c r="R40" s="183">
        <f t="shared" si="1"/>
        <v>1</v>
      </c>
      <c r="S40" s="113"/>
      <c r="T40" s="113"/>
    </row>
    <row r="41" spans="2:20" s="190" customFormat="1" x14ac:dyDescent="0.25">
      <c r="B41" s="116" t="s">
        <v>104</v>
      </c>
      <c r="C41" s="120" t="s">
        <v>105</v>
      </c>
      <c r="D41" s="121"/>
      <c r="E41" s="121"/>
      <c r="F41" s="121"/>
      <c r="G41" s="122"/>
      <c r="H41" s="122" t="s">
        <v>106</v>
      </c>
      <c r="I41" s="72"/>
      <c r="J41" s="72"/>
      <c r="K41" s="72"/>
      <c r="L41" s="72"/>
      <c r="M41" s="72"/>
      <c r="N41" s="72"/>
      <c r="O41" s="72"/>
      <c r="P41" s="72"/>
      <c r="Q41" s="72"/>
      <c r="R41" s="72"/>
      <c r="S41" s="113"/>
      <c r="T41" s="113"/>
    </row>
    <row r="42" spans="2:20" s="190" customFormat="1" x14ac:dyDescent="0.25">
      <c r="B42" s="116"/>
      <c r="C42" s="123"/>
      <c r="D42" s="123"/>
      <c r="E42" s="123"/>
      <c r="F42" s="123"/>
      <c r="G42" s="123"/>
      <c r="H42" s="123"/>
      <c r="I42" s="197"/>
      <c r="J42" s="197"/>
      <c r="K42" s="197"/>
      <c r="L42" s="197"/>
      <c r="M42" s="197"/>
      <c r="N42" s="197"/>
      <c r="O42" s="197"/>
      <c r="P42" s="197"/>
      <c r="Q42" s="197"/>
      <c r="R42" s="197"/>
      <c r="S42" s="113"/>
      <c r="T42" s="113"/>
    </row>
    <row r="43" spans="2:20" s="190" customFormat="1" x14ac:dyDescent="0.25">
      <c r="B43" s="116"/>
      <c r="C43" s="115" t="s">
        <v>107</v>
      </c>
      <c r="D43" s="123"/>
      <c r="E43" s="123"/>
      <c r="F43" s="123"/>
      <c r="G43" s="123"/>
      <c r="H43" s="123"/>
      <c r="I43" s="197"/>
      <c r="J43" s="197"/>
      <c r="K43" s="197"/>
      <c r="L43" s="197"/>
      <c r="M43" s="197"/>
      <c r="N43" s="197"/>
      <c r="O43" s="197"/>
      <c r="P43" s="197"/>
      <c r="Q43" s="197"/>
      <c r="R43" s="197"/>
      <c r="S43" s="113"/>
      <c r="T43" s="113"/>
    </row>
    <row r="44" spans="2:20" s="190" customFormat="1" x14ac:dyDescent="0.25">
      <c r="B44" s="116" t="s">
        <v>83</v>
      </c>
      <c r="C44" s="120" t="s">
        <v>84</v>
      </c>
      <c r="D44" s="121"/>
      <c r="E44" s="121"/>
      <c r="F44" s="121"/>
      <c r="G44" s="122"/>
      <c r="H44" s="122" t="s">
        <v>78</v>
      </c>
      <c r="I44" s="72"/>
      <c r="J44" s="72"/>
      <c r="K44" s="72"/>
      <c r="L44" s="72"/>
      <c r="M44" s="72"/>
      <c r="N44" s="72"/>
      <c r="O44" s="72"/>
      <c r="P44" s="72"/>
      <c r="Q44" s="72"/>
      <c r="R44" s="72"/>
      <c r="S44" s="113"/>
      <c r="T44" s="113"/>
    </row>
    <row r="45" spans="2:20" s="190" customFormat="1" x14ac:dyDescent="0.25">
      <c r="B45" s="116" t="s">
        <v>85</v>
      </c>
      <c r="C45" s="120" t="s">
        <v>86</v>
      </c>
      <c r="D45" s="121"/>
      <c r="E45" s="121"/>
      <c r="F45" s="121"/>
      <c r="G45" s="122"/>
      <c r="H45" s="122" t="s">
        <v>87</v>
      </c>
      <c r="I45" s="72"/>
      <c r="J45" s="72"/>
      <c r="K45" s="72"/>
      <c r="L45" s="72"/>
      <c r="M45" s="72"/>
      <c r="N45" s="72"/>
      <c r="O45" s="72"/>
      <c r="P45" s="72"/>
      <c r="Q45" s="72"/>
      <c r="R45" s="72"/>
      <c r="S45" s="113"/>
      <c r="T45" s="113"/>
    </row>
    <row r="46" spans="2:20" s="190" customFormat="1" x14ac:dyDescent="0.25">
      <c r="B46" s="116" t="s">
        <v>88</v>
      </c>
      <c r="C46" s="120" t="s">
        <v>89</v>
      </c>
      <c r="D46" s="121"/>
      <c r="E46" s="121"/>
      <c r="F46" s="121"/>
      <c r="G46" s="122"/>
      <c r="H46" s="122" t="s">
        <v>87</v>
      </c>
      <c r="I46" s="72"/>
      <c r="J46" s="72"/>
      <c r="K46" s="72"/>
      <c r="L46" s="72"/>
      <c r="M46" s="72"/>
      <c r="N46" s="72"/>
      <c r="O46" s="72"/>
      <c r="P46" s="72"/>
      <c r="Q46" s="72"/>
      <c r="R46" s="72"/>
      <c r="S46" s="113"/>
      <c r="T46" s="113"/>
    </row>
    <row r="47" spans="2:20" s="190" customFormat="1" x14ac:dyDescent="0.25">
      <c r="B47" s="116" t="s">
        <v>90</v>
      </c>
      <c r="C47" s="120" t="s">
        <v>91</v>
      </c>
      <c r="D47" s="121"/>
      <c r="E47" s="121"/>
      <c r="F47" s="121"/>
      <c r="G47" s="122"/>
      <c r="H47" s="122" t="s">
        <v>92</v>
      </c>
      <c r="I47" s="72"/>
      <c r="J47" s="72"/>
      <c r="K47" s="72"/>
      <c r="L47" s="72"/>
      <c r="M47" s="72"/>
      <c r="N47" s="72"/>
      <c r="O47" s="72"/>
      <c r="P47" s="72"/>
      <c r="Q47" s="72"/>
      <c r="R47" s="72"/>
      <c r="S47" s="113"/>
      <c r="T47" s="113"/>
    </row>
    <row r="48" spans="2:20" s="190" customFormat="1" x14ac:dyDescent="0.25">
      <c r="B48" s="116" t="s">
        <v>93</v>
      </c>
      <c r="C48" s="120" t="s">
        <v>94</v>
      </c>
      <c r="D48" s="121"/>
      <c r="E48" s="121"/>
      <c r="F48" s="121"/>
      <c r="G48" s="122"/>
      <c r="H48" s="122"/>
      <c r="I48" s="72" t="s">
        <v>95</v>
      </c>
      <c r="J48" s="72" t="s">
        <v>95</v>
      </c>
      <c r="K48" s="72" t="s">
        <v>95</v>
      </c>
      <c r="L48" s="72" t="s">
        <v>95</v>
      </c>
      <c r="M48" s="72" t="s">
        <v>95</v>
      </c>
      <c r="N48" s="72" t="s">
        <v>95</v>
      </c>
      <c r="O48" s="72" t="s">
        <v>95</v>
      </c>
      <c r="P48" s="72" t="s">
        <v>95</v>
      </c>
      <c r="Q48" s="72" t="s">
        <v>95</v>
      </c>
      <c r="R48" s="72" t="s">
        <v>95</v>
      </c>
      <c r="S48" s="113"/>
      <c r="T48" s="113"/>
    </row>
    <row r="49" spans="2:20" s="190" customFormat="1" ht="24.75" x14ac:dyDescent="0.25">
      <c r="B49" s="116" t="s">
        <v>96</v>
      </c>
      <c r="C49" s="120" t="s">
        <v>97</v>
      </c>
      <c r="D49" s="121"/>
      <c r="E49" s="121"/>
      <c r="F49" s="121"/>
      <c r="G49" s="122"/>
      <c r="H49" s="122"/>
      <c r="I49" s="72" t="str" cm="1">
        <f t="array" ref="I49">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49" s="72" t="str" cm="1">
        <f t="array" ref="J49">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49" s="72" t="str" cm="1">
        <f t="array" ref="K49">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49" s="72" t="str" cm="1">
        <f t="array" ref="L49">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49" s="72" t="str" cm="1">
        <f t="array" ref="M49">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49" s="72" t="str" cm="1">
        <f t="array" ref="N49">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49" s="72" t="str" cm="1">
        <f t="array" ref="O49">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49" s="72" t="str" cm="1">
        <f t="array" ref="P49">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49" s="72" t="str" cm="1">
        <f t="array" ref="Q49">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49" s="72" t="str" cm="1">
        <f t="array" ref="R49">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49" s="113"/>
      <c r="T49" s="113"/>
    </row>
    <row r="50" spans="2:20" s="190" customFormat="1" ht="24.75" x14ac:dyDescent="0.25">
      <c r="B50" s="116" t="s">
        <v>98</v>
      </c>
      <c r="C50" s="120" t="s">
        <v>99</v>
      </c>
      <c r="D50" s="121"/>
      <c r="E50" s="121"/>
      <c r="F50" s="121"/>
      <c r="G50" s="122"/>
      <c r="H50" s="122"/>
      <c r="I50" s="72" t="str" cm="1">
        <f t="array" ref="I50">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50" s="72" t="str" cm="1">
        <f t="array" ref="J50">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50" s="72" t="str" cm="1">
        <f t="array" ref="K50">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50" s="72" t="str" cm="1">
        <f t="array" ref="L50">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50" s="72" t="str" cm="1">
        <f t="array" ref="M50">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50" s="72" t="str" cm="1">
        <f t="array" ref="N50">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50" s="72" t="str" cm="1">
        <f t="array" ref="O50">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50" s="72" t="str" cm="1">
        <f t="array" ref="P50">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50" s="72" t="str" cm="1">
        <f t="array" ref="Q50">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50" s="72" t="str" cm="1">
        <f t="array" ref="R50">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50" s="113"/>
      <c r="T50" s="113"/>
    </row>
    <row r="51" spans="2:20" s="190" customFormat="1" ht="24.75" x14ac:dyDescent="0.25">
      <c r="B51" s="116" t="s">
        <v>100</v>
      </c>
      <c r="C51" s="120" t="s">
        <v>101</v>
      </c>
      <c r="D51" s="121"/>
      <c r="E51" s="121"/>
      <c r="F51" s="121"/>
      <c r="G51" s="122"/>
      <c r="H51" s="122"/>
      <c r="I51" s="72" t="str" cm="1">
        <f t="array" ref="I51">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51" s="72" t="str" cm="1">
        <f t="array" ref="J51">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51" s="72" t="str" cm="1">
        <f t="array" ref="K51">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51" s="72" t="str" cm="1">
        <f t="array" ref="L51">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51" s="72" t="str" cm="1">
        <f t="array" ref="M51">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51" s="72" t="str" cm="1">
        <f t="array" ref="N51">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51" s="72" t="str" cm="1">
        <f t="array" ref="O51">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51" s="72" t="str" cm="1">
        <f t="array" ref="P51">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51" s="72" t="str" cm="1">
        <f t="array" ref="Q51">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51" s="72" t="str" cm="1">
        <f t="array" ref="R51">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51" s="113"/>
      <c r="T51" s="113"/>
    </row>
    <row r="52" spans="2:20" s="190" customFormat="1" x14ac:dyDescent="0.25">
      <c r="B52" s="116" t="s">
        <v>102</v>
      </c>
      <c r="C52" s="124" t="s">
        <v>103</v>
      </c>
      <c r="D52" s="121"/>
      <c r="E52" s="121"/>
      <c r="F52" s="121"/>
      <c r="G52" s="122"/>
      <c r="H52" s="122"/>
      <c r="I52" s="183">
        <f>IF(IF(I48=$I$238,I49,IF(I48=$I$239,I49*I50,IF(I48=$I$240,I49*I50*I51,1)))=0,"Fyll i 2.6-2.8",IF(I48=$I$238,I49,IF(I48=$I$239,I49*I50,IF(I48=$I$240,I49*I50*I51,1))))</f>
        <v>1</v>
      </c>
      <c r="J52" s="183">
        <f t="shared" ref="J52:R52" si="2">IF(IF(J48=$I$238,J49,IF(J48=$I$239,J49*J50,IF(J48=$I$240,J49*J50*J51,1)))=0,"Fyll i 2.6-2.8",IF(J48=$I$238,J49,IF(J48=$I$239,J49*J50,IF(J48=$I$240,J49*J50*J51,1))))</f>
        <v>1</v>
      </c>
      <c r="K52" s="183">
        <f t="shared" si="2"/>
        <v>1</v>
      </c>
      <c r="L52" s="183">
        <f t="shared" si="2"/>
        <v>1</v>
      </c>
      <c r="M52" s="183">
        <f t="shared" si="2"/>
        <v>1</v>
      </c>
      <c r="N52" s="183">
        <f t="shared" si="2"/>
        <v>1</v>
      </c>
      <c r="O52" s="183">
        <f t="shared" si="2"/>
        <v>1</v>
      </c>
      <c r="P52" s="183">
        <f t="shared" si="2"/>
        <v>1</v>
      </c>
      <c r="Q52" s="183">
        <f t="shared" si="2"/>
        <v>1</v>
      </c>
      <c r="R52" s="183">
        <f t="shared" si="2"/>
        <v>1</v>
      </c>
      <c r="S52" s="113"/>
      <c r="T52" s="113"/>
    </row>
    <row r="53" spans="2:20" s="190" customFormat="1" x14ac:dyDescent="0.25">
      <c r="B53" s="116" t="s">
        <v>104</v>
      </c>
      <c r="C53" s="120" t="s">
        <v>105</v>
      </c>
      <c r="D53" s="121"/>
      <c r="E53" s="121"/>
      <c r="F53" s="121"/>
      <c r="G53" s="122"/>
      <c r="H53" s="122" t="s">
        <v>106</v>
      </c>
      <c r="I53" s="72"/>
      <c r="J53" s="72"/>
      <c r="K53" s="72"/>
      <c r="L53" s="72"/>
      <c r="M53" s="72"/>
      <c r="N53" s="72"/>
      <c r="O53" s="72"/>
      <c r="P53" s="72"/>
      <c r="Q53" s="72"/>
      <c r="R53" s="72"/>
      <c r="S53" s="113"/>
      <c r="T53" s="113"/>
    </row>
    <row r="54" spans="2:20" s="190" customFormat="1" x14ac:dyDescent="0.25">
      <c r="B54" s="116"/>
      <c r="C54" s="123"/>
      <c r="D54" s="123"/>
      <c r="E54" s="123"/>
      <c r="F54" s="123"/>
      <c r="G54" s="123"/>
      <c r="H54" s="123"/>
      <c r="I54" s="197"/>
      <c r="J54" s="197"/>
      <c r="K54" s="197"/>
      <c r="L54" s="197"/>
      <c r="M54" s="197"/>
      <c r="N54" s="197"/>
      <c r="O54" s="197"/>
      <c r="P54" s="197"/>
      <c r="Q54" s="197"/>
      <c r="R54" s="197"/>
      <c r="S54" s="113"/>
      <c r="T54" s="113"/>
    </row>
    <row r="55" spans="2:20" s="190" customFormat="1" x14ac:dyDescent="0.25">
      <c r="B55" s="116"/>
      <c r="C55" s="115" t="s">
        <v>108</v>
      </c>
      <c r="D55" s="123"/>
      <c r="E55" s="123"/>
      <c r="F55" s="123"/>
      <c r="G55" s="123"/>
      <c r="H55" s="123"/>
      <c r="I55" s="197"/>
      <c r="J55" s="197"/>
      <c r="K55" s="197"/>
      <c r="L55" s="197"/>
      <c r="M55" s="197"/>
      <c r="N55" s="197"/>
      <c r="O55" s="197"/>
      <c r="P55" s="197"/>
      <c r="Q55" s="197"/>
      <c r="R55" s="197"/>
      <c r="S55" s="113"/>
      <c r="T55" s="113"/>
    </row>
    <row r="56" spans="2:20" s="190" customFormat="1" x14ac:dyDescent="0.25">
      <c r="B56" s="116" t="s">
        <v>83</v>
      </c>
      <c r="C56" s="120" t="s">
        <v>84</v>
      </c>
      <c r="D56" s="121"/>
      <c r="E56" s="121"/>
      <c r="F56" s="121"/>
      <c r="G56" s="122"/>
      <c r="H56" s="122" t="s">
        <v>78</v>
      </c>
      <c r="I56" s="72"/>
      <c r="J56" s="72"/>
      <c r="K56" s="72"/>
      <c r="L56" s="72"/>
      <c r="M56" s="72"/>
      <c r="N56" s="72"/>
      <c r="O56" s="72"/>
      <c r="P56" s="72"/>
      <c r="Q56" s="72"/>
      <c r="R56" s="72"/>
      <c r="S56" s="113"/>
      <c r="T56" s="113"/>
    </row>
    <row r="57" spans="2:20" s="190" customFormat="1" x14ac:dyDescent="0.25">
      <c r="B57" s="116" t="s">
        <v>85</v>
      </c>
      <c r="C57" s="120" t="s">
        <v>86</v>
      </c>
      <c r="D57" s="121"/>
      <c r="E57" s="121"/>
      <c r="F57" s="121"/>
      <c r="G57" s="122"/>
      <c r="H57" s="122" t="s">
        <v>87</v>
      </c>
      <c r="I57" s="72"/>
      <c r="J57" s="72"/>
      <c r="K57" s="72"/>
      <c r="L57" s="72"/>
      <c r="M57" s="72"/>
      <c r="N57" s="72"/>
      <c r="O57" s="72"/>
      <c r="P57" s="72"/>
      <c r="Q57" s="72"/>
      <c r="R57" s="72"/>
      <c r="S57" s="113"/>
      <c r="T57" s="113"/>
    </row>
    <row r="58" spans="2:20" s="190" customFormat="1" x14ac:dyDescent="0.25">
      <c r="B58" s="116" t="s">
        <v>88</v>
      </c>
      <c r="C58" s="120" t="s">
        <v>89</v>
      </c>
      <c r="D58" s="121"/>
      <c r="E58" s="121"/>
      <c r="F58" s="121"/>
      <c r="G58" s="122"/>
      <c r="H58" s="122" t="s">
        <v>87</v>
      </c>
      <c r="I58" s="72"/>
      <c r="J58" s="72"/>
      <c r="K58" s="72"/>
      <c r="L58" s="72"/>
      <c r="M58" s="72"/>
      <c r="N58" s="72"/>
      <c r="O58" s="72"/>
      <c r="P58" s="72"/>
      <c r="Q58" s="72"/>
      <c r="R58" s="72"/>
      <c r="S58" s="113"/>
      <c r="T58" s="113"/>
    </row>
    <row r="59" spans="2:20" s="190" customFormat="1" x14ac:dyDescent="0.25">
      <c r="B59" s="116" t="s">
        <v>90</v>
      </c>
      <c r="C59" s="120" t="s">
        <v>91</v>
      </c>
      <c r="D59" s="121"/>
      <c r="E59" s="121"/>
      <c r="F59" s="121"/>
      <c r="G59" s="122"/>
      <c r="H59" s="122" t="s">
        <v>92</v>
      </c>
      <c r="I59" s="72"/>
      <c r="J59" s="72"/>
      <c r="K59" s="72"/>
      <c r="L59" s="72"/>
      <c r="M59" s="72"/>
      <c r="N59" s="72"/>
      <c r="O59" s="72"/>
      <c r="P59" s="72"/>
      <c r="Q59" s="72"/>
      <c r="R59" s="72"/>
      <c r="S59" s="113"/>
      <c r="T59" s="113"/>
    </row>
    <row r="60" spans="2:20" s="190" customFormat="1" x14ac:dyDescent="0.25">
      <c r="B60" s="116" t="s">
        <v>93</v>
      </c>
      <c r="C60" s="120" t="s">
        <v>94</v>
      </c>
      <c r="D60" s="121"/>
      <c r="E60" s="121"/>
      <c r="F60" s="121"/>
      <c r="G60" s="122"/>
      <c r="H60" s="122"/>
      <c r="I60" s="72" t="s">
        <v>95</v>
      </c>
      <c r="J60" s="72" t="s">
        <v>95</v>
      </c>
      <c r="K60" s="72" t="s">
        <v>95</v>
      </c>
      <c r="L60" s="72" t="s">
        <v>95</v>
      </c>
      <c r="M60" s="72" t="s">
        <v>95</v>
      </c>
      <c r="N60" s="72" t="s">
        <v>95</v>
      </c>
      <c r="O60" s="72" t="s">
        <v>95</v>
      </c>
      <c r="P60" s="72" t="s">
        <v>95</v>
      </c>
      <c r="Q60" s="72" t="s">
        <v>95</v>
      </c>
      <c r="R60" s="72" t="s">
        <v>95</v>
      </c>
      <c r="S60" s="113"/>
      <c r="T60" s="113"/>
    </row>
    <row r="61" spans="2:20" s="190" customFormat="1" ht="24.75" x14ac:dyDescent="0.25">
      <c r="B61" s="116" t="s">
        <v>96</v>
      </c>
      <c r="C61" s="120" t="s">
        <v>97</v>
      </c>
      <c r="D61" s="121"/>
      <c r="E61" s="121"/>
      <c r="F61" s="121"/>
      <c r="G61" s="122"/>
      <c r="H61" s="122"/>
      <c r="I61" s="72" t="str" cm="1">
        <f t="array" ref="I61">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61" s="72" t="str" cm="1">
        <f t="array" ref="J61">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61" s="72" t="str" cm="1">
        <f t="array" ref="K61">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61" s="72" t="str" cm="1">
        <f t="array" ref="L61">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61" s="72" t="str" cm="1">
        <f t="array" ref="M61">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61" s="72" t="str" cm="1">
        <f t="array" ref="N61">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61" s="72" t="str" cm="1">
        <f t="array" ref="O61">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61" s="72" t="str" cm="1">
        <f t="array" ref="P61">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61" s="72" t="str" cm="1">
        <f t="array" ref="Q61">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61" s="72" t="str" cm="1">
        <f t="array" ref="R61">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61" s="113"/>
      <c r="T61" s="113"/>
    </row>
    <row r="62" spans="2:20" s="190" customFormat="1" ht="24.75" x14ac:dyDescent="0.25">
      <c r="B62" s="116" t="s">
        <v>98</v>
      </c>
      <c r="C62" s="120" t="s">
        <v>99</v>
      </c>
      <c r="D62" s="121"/>
      <c r="E62" s="121"/>
      <c r="F62" s="121"/>
      <c r="G62" s="122"/>
      <c r="H62" s="122"/>
      <c r="I62" s="72" t="str" cm="1">
        <f t="array" ref="I62">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62" s="72" t="str" cm="1">
        <f t="array" ref="J62">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62" s="72" t="str" cm="1">
        <f t="array" ref="K62">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62" s="72" t="str" cm="1">
        <f t="array" ref="L62">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62" s="72" t="str" cm="1">
        <f t="array" ref="M62">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62" s="72" t="str" cm="1">
        <f t="array" ref="N62">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62" s="72" t="str" cm="1">
        <f t="array" ref="O62">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62" s="72" t="str" cm="1">
        <f t="array" ref="P62">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62" s="72" t="str" cm="1">
        <f t="array" ref="Q62">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62" s="72" t="str" cm="1">
        <f t="array" ref="R62">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62" s="113"/>
      <c r="T62" s="113"/>
    </row>
    <row r="63" spans="2:20" s="190" customFormat="1" ht="24.75" x14ac:dyDescent="0.25">
      <c r="B63" s="116" t="s">
        <v>100</v>
      </c>
      <c r="C63" s="120" t="s">
        <v>101</v>
      </c>
      <c r="D63" s="121"/>
      <c r="E63" s="121"/>
      <c r="F63" s="121"/>
      <c r="G63" s="122"/>
      <c r="H63" s="122"/>
      <c r="I63" s="72" t="str" cm="1">
        <f t="array" ref="I63">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63" s="72" t="str" cm="1">
        <f t="array" ref="J63">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63" s="72" t="str" cm="1">
        <f t="array" ref="K63">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63" s="72" t="str" cm="1">
        <f t="array" ref="L63">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63" s="72" t="str" cm="1">
        <f t="array" ref="M63">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63" s="72" t="str" cm="1">
        <f t="array" ref="N63">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63" s="72" t="str" cm="1">
        <f t="array" ref="O63">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63" s="72" t="str" cm="1">
        <f t="array" ref="P63">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63" s="72" t="str" cm="1">
        <f t="array" ref="Q63">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63" s="72" t="str" cm="1">
        <f t="array" ref="R63">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63" s="113"/>
      <c r="T63" s="113"/>
    </row>
    <row r="64" spans="2:20" s="190" customFormat="1" x14ac:dyDescent="0.25">
      <c r="B64" s="116" t="s">
        <v>102</v>
      </c>
      <c r="C64" s="124" t="s">
        <v>103</v>
      </c>
      <c r="D64" s="121"/>
      <c r="E64" s="121"/>
      <c r="F64" s="121"/>
      <c r="G64" s="122"/>
      <c r="H64" s="122"/>
      <c r="I64" s="183">
        <f>IF(IF(I60=$I$238,I61,IF(I60=$I$239,I61*I62,IF(I60=$I$240,I61*I62*I63,1)))=0,"Fyll i 2.6-2.8",IF(I60=$I$238,I61,IF(I60=$I$239,I61*I62,IF(I60=$I$240,I61*I62*I63,1))))</f>
        <v>1</v>
      </c>
      <c r="J64" s="183">
        <f t="shared" ref="J64:R64" si="3">IF(IF(J60=$I$238,J61,IF(J60=$I$239,J61*J62,IF(J60=$I$240,J61*J62*J63,1)))=0,"Fyll i 2.6-2.8",IF(J60=$I$238,J61,IF(J60=$I$239,J61*J62,IF(J60=$I$240,J61*J62*J63,1))))</f>
        <v>1</v>
      </c>
      <c r="K64" s="183">
        <f t="shared" si="3"/>
        <v>1</v>
      </c>
      <c r="L64" s="183">
        <f t="shared" si="3"/>
        <v>1</v>
      </c>
      <c r="M64" s="183">
        <f t="shared" si="3"/>
        <v>1</v>
      </c>
      <c r="N64" s="183">
        <f t="shared" si="3"/>
        <v>1</v>
      </c>
      <c r="O64" s="183">
        <f t="shared" si="3"/>
        <v>1</v>
      </c>
      <c r="P64" s="183">
        <f t="shared" si="3"/>
        <v>1</v>
      </c>
      <c r="Q64" s="183">
        <f t="shared" si="3"/>
        <v>1</v>
      </c>
      <c r="R64" s="183">
        <f t="shared" si="3"/>
        <v>1</v>
      </c>
      <c r="S64" s="113"/>
      <c r="T64" s="113"/>
    </row>
    <row r="65" spans="2:20" s="190" customFormat="1" x14ac:dyDescent="0.25">
      <c r="B65" s="116" t="s">
        <v>104</v>
      </c>
      <c r="C65" s="120" t="s">
        <v>105</v>
      </c>
      <c r="D65" s="121"/>
      <c r="E65" s="121"/>
      <c r="F65" s="121"/>
      <c r="G65" s="122"/>
      <c r="H65" s="122" t="s">
        <v>106</v>
      </c>
      <c r="I65" s="72"/>
      <c r="J65" s="72"/>
      <c r="K65" s="72"/>
      <c r="L65" s="72"/>
      <c r="M65" s="72"/>
      <c r="N65" s="72"/>
      <c r="O65" s="72"/>
      <c r="P65" s="72"/>
      <c r="Q65" s="72"/>
      <c r="R65" s="72"/>
      <c r="S65" s="113"/>
      <c r="T65" s="113"/>
    </row>
    <row r="66" spans="2:20" s="190" customFormat="1" x14ac:dyDescent="0.25">
      <c r="B66" s="116"/>
      <c r="C66" s="123"/>
      <c r="D66" s="123"/>
      <c r="E66" s="123"/>
      <c r="F66" s="123"/>
      <c r="G66" s="123"/>
      <c r="H66" s="123"/>
      <c r="I66" s="197"/>
      <c r="J66" s="197"/>
      <c r="K66" s="197"/>
      <c r="L66" s="197"/>
      <c r="M66" s="197"/>
      <c r="N66" s="197"/>
      <c r="O66" s="197"/>
      <c r="P66" s="197"/>
      <c r="Q66" s="197"/>
      <c r="R66" s="197"/>
      <c r="S66" s="113"/>
      <c r="T66" s="113"/>
    </row>
    <row r="67" spans="2:20" s="190" customFormat="1" x14ac:dyDescent="0.25">
      <c r="B67" s="116"/>
      <c r="C67" s="115" t="s">
        <v>109</v>
      </c>
      <c r="D67" s="123"/>
      <c r="E67" s="123"/>
      <c r="F67" s="123"/>
      <c r="G67" s="123"/>
      <c r="H67" s="123"/>
      <c r="I67" s="197"/>
      <c r="J67" s="197"/>
      <c r="K67" s="197"/>
      <c r="L67" s="197"/>
      <c r="M67" s="197"/>
      <c r="N67" s="197"/>
      <c r="O67" s="197"/>
      <c r="P67" s="197"/>
      <c r="Q67" s="197"/>
      <c r="R67" s="197"/>
      <c r="S67" s="113"/>
      <c r="T67" s="113"/>
    </row>
    <row r="68" spans="2:20" s="190" customFormat="1" x14ac:dyDescent="0.25">
      <c r="B68" s="116" t="s">
        <v>83</v>
      </c>
      <c r="C68" s="120" t="s">
        <v>84</v>
      </c>
      <c r="D68" s="121"/>
      <c r="E68" s="121"/>
      <c r="F68" s="121"/>
      <c r="G68" s="122"/>
      <c r="H68" s="122" t="s">
        <v>78</v>
      </c>
      <c r="I68" s="72"/>
      <c r="J68" s="72"/>
      <c r="K68" s="72"/>
      <c r="L68" s="72"/>
      <c r="M68" s="72"/>
      <c r="N68" s="72"/>
      <c r="O68" s="72"/>
      <c r="P68" s="72"/>
      <c r="Q68" s="72"/>
      <c r="R68" s="72"/>
      <c r="S68" s="113"/>
      <c r="T68" s="113"/>
    </row>
    <row r="69" spans="2:20" s="190" customFormat="1" x14ac:dyDescent="0.25">
      <c r="B69" s="116" t="s">
        <v>85</v>
      </c>
      <c r="C69" s="120" t="s">
        <v>86</v>
      </c>
      <c r="D69" s="121"/>
      <c r="E69" s="121"/>
      <c r="F69" s="121"/>
      <c r="G69" s="122"/>
      <c r="H69" s="122" t="s">
        <v>87</v>
      </c>
      <c r="I69" s="72"/>
      <c r="J69" s="72"/>
      <c r="K69" s="72"/>
      <c r="L69" s="72"/>
      <c r="M69" s="72"/>
      <c r="N69" s="72"/>
      <c r="O69" s="72"/>
      <c r="P69" s="72"/>
      <c r="Q69" s="72"/>
      <c r="R69" s="72"/>
      <c r="S69" s="113"/>
      <c r="T69" s="113"/>
    </row>
    <row r="70" spans="2:20" s="190" customFormat="1" x14ac:dyDescent="0.25">
      <c r="B70" s="116" t="s">
        <v>88</v>
      </c>
      <c r="C70" s="120" t="s">
        <v>89</v>
      </c>
      <c r="D70" s="121"/>
      <c r="E70" s="121"/>
      <c r="F70" s="121"/>
      <c r="G70" s="122"/>
      <c r="H70" s="122" t="s">
        <v>87</v>
      </c>
      <c r="I70" s="72"/>
      <c r="J70" s="72"/>
      <c r="K70" s="72"/>
      <c r="L70" s="72"/>
      <c r="M70" s="72"/>
      <c r="N70" s="72"/>
      <c r="O70" s="72"/>
      <c r="P70" s="72"/>
      <c r="Q70" s="72"/>
      <c r="R70" s="72"/>
      <c r="S70" s="113"/>
      <c r="T70" s="113"/>
    </row>
    <row r="71" spans="2:20" s="190" customFormat="1" x14ac:dyDescent="0.25">
      <c r="B71" s="116" t="s">
        <v>90</v>
      </c>
      <c r="C71" s="120" t="s">
        <v>91</v>
      </c>
      <c r="D71" s="121"/>
      <c r="E71" s="121"/>
      <c r="F71" s="121"/>
      <c r="G71" s="122"/>
      <c r="H71" s="122" t="s">
        <v>92</v>
      </c>
      <c r="I71" s="72"/>
      <c r="J71" s="72"/>
      <c r="K71" s="72"/>
      <c r="L71" s="72"/>
      <c r="M71" s="72"/>
      <c r="N71" s="72"/>
      <c r="O71" s="72"/>
      <c r="P71" s="72"/>
      <c r="Q71" s="72"/>
      <c r="R71" s="72"/>
      <c r="S71" s="113"/>
      <c r="T71" s="113"/>
    </row>
    <row r="72" spans="2:20" s="190" customFormat="1" x14ac:dyDescent="0.25">
      <c r="B72" s="116" t="s">
        <v>93</v>
      </c>
      <c r="C72" s="120" t="s">
        <v>94</v>
      </c>
      <c r="D72" s="121"/>
      <c r="E72" s="121"/>
      <c r="F72" s="121"/>
      <c r="G72" s="122"/>
      <c r="H72" s="122"/>
      <c r="I72" s="72" t="s">
        <v>95</v>
      </c>
      <c r="J72" s="72" t="s">
        <v>95</v>
      </c>
      <c r="K72" s="72" t="s">
        <v>95</v>
      </c>
      <c r="L72" s="72" t="s">
        <v>95</v>
      </c>
      <c r="M72" s="72" t="s">
        <v>95</v>
      </c>
      <c r="N72" s="72" t="s">
        <v>95</v>
      </c>
      <c r="O72" s="72" t="s">
        <v>95</v>
      </c>
      <c r="P72" s="72" t="s">
        <v>95</v>
      </c>
      <c r="Q72" s="72" t="s">
        <v>95</v>
      </c>
      <c r="R72" s="72" t="s">
        <v>95</v>
      </c>
      <c r="S72" s="113"/>
      <c r="T72" s="113"/>
    </row>
    <row r="73" spans="2:20" s="190" customFormat="1" ht="24.75" x14ac:dyDescent="0.25">
      <c r="B73" s="116" t="s">
        <v>96</v>
      </c>
      <c r="C73" s="120" t="s">
        <v>97</v>
      </c>
      <c r="D73" s="121"/>
      <c r="E73" s="121"/>
      <c r="F73" s="121"/>
      <c r="G73" s="122"/>
      <c r="H73" s="122"/>
      <c r="I73" s="72" t="str" cm="1">
        <f t="array" ref="I73">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73" s="72" t="str" cm="1">
        <f t="array" ref="J73">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73" s="72" t="str" cm="1">
        <f t="array" ref="K73">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73" s="72" t="str" cm="1">
        <f t="array" ref="L73">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73" s="72" t="str" cm="1">
        <f t="array" ref="M73">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73" s="72" t="str" cm="1">
        <f t="array" ref="N73">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73" s="72" t="str" cm="1">
        <f t="array" ref="O73">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73" s="72" t="str" cm="1">
        <f t="array" ref="P73">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73" s="72" t="str" cm="1">
        <f t="array" ref="Q73">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73" s="72" t="str" cm="1">
        <f t="array" ref="R73">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73" s="113"/>
      <c r="T73" s="113"/>
    </row>
    <row r="74" spans="2:20" s="190" customFormat="1" ht="24.75" x14ac:dyDescent="0.25">
      <c r="B74" s="116" t="s">
        <v>98</v>
      </c>
      <c r="C74" s="120" t="s">
        <v>99</v>
      </c>
      <c r="D74" s="121"/>
      <c r="E74" s="121"/>
      <c r="F74" s="121"/>
      <c r="G74" s="122"/>
      <c r="H74" s="122"/>
      <c r="I74" s="72" t="str" cm="1">
        <f t="array" ref="I74">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74" s="72" t="str" cm="1">
        <f t="array" ref="J74">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74" s="72" t="str" cm="1">
        <f t="array" ref="K74">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74" s="72" t="str" cm="1">
        <f t="array" ref="L74">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74" s="72" t="str" cm="1">
        <f t="array" ref="M74">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74" s="72" t="str" cm="1">
        <f t="array" ref="N74">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74" s="72" t="str" cm="1">
        <f t="array" ref="O74">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74" s="72" t="str" cm="1">
        <f t="array" ref="P74">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74" s="72" t="str" cm="1">
        <f t="array" ref="Q74">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74" s="72" t="str" cm="1">
        <f t="array" ref="R74">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74" s="113"/>
      <c r="T74" s="113"/>
    </row>
    <row r="75" spans="2:20" s="190" customFormat="1" ht="24.75" x14ac:dyDescent="0.25">
      <c r="B75" s="116" t="s">
        <v>100</v>
      </c>
      <c r="C75" s="120" t="s">
        <v>101</v>
      </c>
      <c r="D75" s="121"/>
      <c r="E75" s="121"/>
      <c r="F75" s="121"/>
      <c r="G75" s="122"/>
      <c r="H75" s="122"/>
      <c r="I75" s="72" t="str" cm="1">
        <f t="array" ref="I75">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75" s="72" t="str" cm="1">
        <f t="array" ref="J75">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75" s="72" t="str" cm="1">
        <f t="array" ref="K75">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75" s="72" t="str" cm="1">
        <f t="array" ref="L75">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75" s="72" t="str" cm="1">
        <f t="array" ref="M75">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75" s="72" t="str" cm="1">
        <f t="array" ref="N75">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75" s="72" t="str" cm="1">
        <f t="array" ref="O75">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75" s="72" t="str" cm="1">
        <f t="array" ref="P75">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75" s="72" t="str" cm="1">
        <f t="array" ref="Q75">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75" s="72" t="str" cm="1">
        <f t="array" ref="R75">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75" s="113"/>
      <c r="T75" s="113"/>
    </row>
    <row r="76" spans="2:20" s="190" customFormat="1" x14ac:dyDescent="0.25">
      <c r="B76" s="116" t="s">
        <v>102</v>
      </c>
      <c r="C76" s="124" t="s">
        <v>103</v>
      </c>
      <c r="D76" s="121"/>
      <c r="E76" s="121"/>
      <c r="F76" s="121"/>
      <c r="G76" s="122"/>
      <c r="H76" s="122"/>
      <c r="I76" s="183">
        <f>IF(IF(I72=$I$238,I73,IF(I72=$I$239,I73*I74,IF(I72=$I$240,I73*I74*I75,1)))=0,"Fyll i 2.6-2.8",IF(I72=$I$238,I73,IF(I72=$I$239,I73*I74,IF(I72=$I$240,I73*I74*I75,1))))</f>
        <v>1</v>
      </c>
      <c r="J76" s="183">
        <f t="shared" ref="J76:R76" si="4">IF(IF(J72=$I$238,J73,IF(J72=$I$239,J73*J74,IF(J72=$I$240,J73*J74*J75,1)))=0,"Fyll i 2.6-2.8",IF(J72=$I$238,J73,IF(J72=$I$239,J73*J74,IF(J72=$I$240,J73*J74*J75,1))))</f>
        <v>1</v>
      </c>
      <c r="K76" s="183">
        <f t="shared" si="4"/>
        <v>1</v>
      </c>
      <c r="L76" s="183">
        <f t="shared" si="4"/>
        <v>1</v>
      </c>
      <c r="M76" s="183">
        <f t="shared" si="4"/>
        <v>1</v>
      </c>
      <c r="N76" s="183">
        <f t="shared" si="4"/>
        <v>1</v>
      </c>
      <c r="O76" s="183">
        <f t="shared" si="4"/>
        <v>1</v>
      </c>
      <c r="P76" s="183">
        <f t="shared" si="4"/>
        <v>1</v>
      </c>
      <c r="Q76" s="183">
        <f t="shared" si="4"/>
        <v>1</v>
      </c>
      <c r="R76" s="183">
        <f t="shared" si="4"/>
        <v>1</v>
      </c>
      <c r="S76" s="113"/>
      <c r="T76" s="113"/>
    </row>
    <row r="77" spans="2:20" s="190" customFormat="1" x14ac:dyDescent="0.25">
      <c r="B77" s="116" t="s">
        <v>104</v>
      </c>
      <c r="C77" s="120" t="s">
        <v>105</v>
      </c>
      <c r="D77" s="121"/>
      <c r="E77" s="121"/>
      <c r="F77" s="121"/>
      <c r="G77" s="122"/>
      <c r="H77" s="122" t="s">
        <v>106</v>
      </c>
      <c r="I77" s="72"/>
      <c r="J77" s="72"/>
      <c r="K77" s="72"/>
      <c r="L77" s="72"/>
      <c r="M77" s="72"/>
      <c r="N77" s="72"/>
      <c r="O77" s="72"/>
      <c r="P77" s="72"/>
      <c r="Q77" s="72"/>
      <c r="R77" s="72"/>
      <c r="S77" s="113"/>
      <c r="T77" s="113"/>
    </row>
    <row r="78" spans="2:20" s="190" customFormat="1" x14ac:dyDescent="0.25">
      <c r="B78" s="116"/>
      <c r="C78" s="123"/>
      <c r="D78" s="123"/>
      <c r="E78" s="123"/>
      <c r="F78" s="123"/>
      <c r="G78" s="123"/>
      <c r="H78" s="123"/>
      <c r="I78" s="197"/>
      <c r="J78" s="197"/>
      <c r="K78" s="197"/>
      <c r="L78" s="197"/>
      <c r="M78" s="197"/>
      <c r="N78" s="197"/>
      <c r="O78" s="197"/>
      <c r="P78" s="197"/>
      <c r="Q78" s="197"/>
      <c r="R78" s="197"/>
      <c r="S78" s="113"/>
      <c r="T78" s="113"/>
    </row>
    <row r="79" spans="2:20" s="190" customFormat="1" x14ac:dyDescent="0.25">
      <c r="B79" s="116"/>
      <c r="C79" s="115" t="s">
        <v>110</v>
      </c>
      <c r="D79" s="123"/>
      <c r="E79" s="123"/>
      <c r="F79" s="123"/>
      <c r="G79" s="123"/>
      <c r="H79" s="123"/>
      <c r="I79" s="197"/>
      <c r="J79" s="197"/>
      <c r="K79" s="197"/>
      <c r="L79" s="197"/>
      <c r="M79" s="197"/>
      <c r="N79" s="197"/>
      <c r="O79" s="197"/>
      <c r="P79" s="197"/>
      <c r="Q79" s="197"/>
      <c r="R79" s="197"/>
      <c r="S79" s="113"/>
      <c r="T79" s="113"/>
    </row>
    <row r="80" spans="2:20" s="190" customFormat="1" x14ac:dyDescent="0.25">
      <c r="B80" s="116" t="s">
        <v>83</v>
      </c>
      <c r="C80" s="120" t="s">
        <v>84</v>
      </c>
      <c r="D80" s="121"/>
      <c r="E80" s="121"/>
      <c r="F80" s="121"/>
      <c r="G80" s="122"/>
      <c r="H80" s="122" t="s">
        <v>78</v>
      </c>
      <c r="I80" s="72"/>
      <c r="J80" s="72"/>
      <c r="K80" s="72"/>
      <c r="L80" s="72"/>
      <c r="M80" s="72"/>
      <c r="N80" s="72"/>
      <c r="O80" s="72"/>
      <c r="P80" s="72"/>
      <c r="Q80" s="72"/>
      <c r="R80" s="72"/>
      <c r="S80" s="113"/>
      <c r="T80" s="113"/>
    </row>
    <row r="81" spans="2:20" s="190" customFormat="1" x14ac:dyDescent="0.25">
      <c r="B81" s="116" t="s">
        <v>85</v>
      </c>
      <c r="C81" s="120" t="s">
        <v>86</v>
      </c>
      <c r="D81" s="121"/>
      <c r="E81" s="121"/>
      <c r="F81" s="121"/>
      <c r="G81" s="122"/>
      <c r="H81" s="122" t="s">
        <v>87</v>
      </c>
      <c r="I81" s="72"/>
      <c r="J81" s="72"/>
      <c r="K81" s="72"/>
      <c r="L81" s="72"/>
      <c r="M81" s="72"/>
      <c r="N81" s="72"/>
      <c r="O81" s="72"/>
      <c r="P81" s="72"/>
      <c r="Q81" s="72"/>
      <c r="R81" s="72"/>
      <c r="S81" s="113"/>
      <c r="T81" s="113"/>
    </row>
    <row r="82" spans="2:20" s="190" customFormat="1" x14ac:dyDescent="0.25">
      <c r="B82" s="116" t="s">
        <v>88</v>
      </c>
      <c r="C82" s="120" t="s">
        <v>89</v>
      </c>
      <c r="D82" s="121"/>
      <c r="E82" s="121"/>
      <c r="F82" s="121"/>
      <c r="G82" s="122"/>
      <c r="H82" s="122" t="s">
        <v>87</v>
      </c>
      <c r="I82" s="72"/>
      <c r="J82" s="72"/>
      <c r="K82" s="72"/>
      <c r="L82" s="72"/>
      <c r="M82" s="72"/>
      <c r="N82" s="72"/>
      <c r="O82" s="72"/>
      <c r="P82" s="72"/>
      <c r="Q82" s="72"/>
      <c r="R82" s="72"/>
      <c r="S82" s="113"/>
      <c r="T82" s="113"/>
    </row>
    <row r="83" spans="2:20" s="190" customFormat="1" x14ac:dyDescent="0.25">
      <c r="B83" s="116" t="s">
        <v>90</v>
      </c>
      <c r="C83" s="120" t="s">
        <v>91</v>
      </c>
      <c r="D83" s="121"/>
      <c r="E83" s="121"/>
      <c r="F83" s="121"/>
      <c r="G83" s="122"/>
      <c r="H83" s="122" t="s">
        <v>92</v>
      </c>
      <c r="I83" s="72"/>
      <c r="J83" s="72"/>
      <c r="K83" s="72"/>
      <c r="L83" s="72"/>
      <c r="M83" s="72"/>
      <c r="N83" s="72"/>
      <c r="O83" s="72"/>
      <c r="P83" s="72"/>
      <c r="Q83" s="72"/>
      <c r="R83" s="72"/>
      <c r="S83" s="113"/>
      <c r="T83" s="113"/>
    </row>
    <row r="84" spans="2:20" s="198" customFormat="1" x14ac:dyDescent="0.25">
      <c r="B84" s="125" t="s">
        <v>93</v>
      </c>
      <c r="C84" s="120" t="s">
        <v>94</v>
      </c>
      <c r="D84" s="126"/>
      <c r="E84" s="126"/>
      <c r="F84" s="126"/>
      <c r="G84" s="127"/>
      <c r="H84" s="127"/>
      <c r="I84" s="72" t="s">
        <v>95</v>
      </c>
      <c r="J84" s="72" t="s">
        <v>95</v>
      </c>
      <c r="K84" s="72" t="s">
        <v>95</v>
      </c>
      <c r="L84" s="72" t="s">
        <v>95</v>
      </c>
      <c r="M84" s="72" t="s">
        <v>95</v>
      </c>
      <c r="N84" s="72" t="s">
        <v>95</v>
      </c>
      <c r="O84" s="72" t="s">
        <v>95</v>
      </c>
      <c r="P84" s="72" t="s">
        <v>95</v>
      </c>
      <c r="Q84" s="72" t="s">
        <v>95</v>
      </c>
      <c r="R84" s="72" t="s">
        <v>95</v>
      </c>
      <c r="S84" s="113"/>
      <c r="T84" s="113"/>
    </row>
    <row r="85" spans="2:20" s="190" customFormat="1" ht="24.75" x14ac:dyDescent="0.25">
      <c r="B85" s="116" t="s">
        <v>96</v>
      </c>
      <c r="C85" s="120" t="s">
        <v>97</v>
      </c>
      <c r="D85" s="121"/>
      <c r="E85" s="121"/>
      <c r="F85" s="121"/>
      <c r="G85" s="122"/>
      <c r="H85" s="122"/>
      <c r="I85" s="72" t="str" cm="1">
        <f t="array" ref="I85">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85" s="72" t="str" cm="1">
        <f t="array" ref="J85">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85" s="72" t="str" cm="1">
        <f t="array" ref="K85">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85" s="72" t="str" cm="1">
        <f t="array" ref="L85">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85" s="72" t="str" cm="1">
        <f t="array" ref="M85">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85" s="72" t="str" cm="1">
        <f t="array" ref="N85">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85" s="72" t="str" cm="1">
        <f t="array" ref="O85">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85" s="72" t="str" cm="1">
        <f t="array" ref="P85">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85" s="72" t="str" cm="1">
        <f t="array" ref="Q85">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85" s="72" t="str" cm="1">
        <f t="array" ref="R85">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85" s="113"/>
      <c r="T85" s="113"/>
    </row>
    <row r="86" spans="2:20" s="190" customFormat="1" ht="24.75" x14ac:dyDescent="0.25">
      <c r="B86" s="116" t="s">
        <v>98</v>
      </c>
      <c r="C86" s="120" t="s">
        <v>99</v>
      </c>
      <c r="D86" s="121"/>
      <c r="E86" s="121"/>
      <c r="F86" s="121"/>
      <c r="G86" s="122"/>
      <c r="H86" s="122"/>
      <c r="I86" s="72" t="str" cm="1">
        <f t="array" ref="I86">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86" s="72" t="str" cm="1">
        <f t="array" ref="J86">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86" s="72" t="str" cm="1">
        <f t="array" ref="K86">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86" s="72" t="str" cm="1">
        <f t="array" ref="L86">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86" s="72" t="str" cm="1">
        <f t="array" ref="M86">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86" s="72" t="str" cm="1">
        <f t="array" ref="N86">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86" s="72" t="str" cm="1">
        <f t="array" ref="O86">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86" s="72" t="str" cm="1">
        <f t="array" ref="P86">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86" s="72" t="str" cm="1">
        <f t="array" ref="Q86">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86" s="72" t="str" cm="1">
        <f t="array" ref="R86">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86" s="113"/>
      <c r="T86" s="113"/>
    </row>
    <row r="87" spans="2:20" s="190" customFormat="1" ht="24.75" x14ac:dyDescent="0.25">
      <c r="B87" s="116" t="s">
        <v>100</v>
      </c>
      <c r="C87" s="120" t="s">
        <v>101</v>
      </c>
      <c r="D87" s="121"/>
      <c r="E87" s="121"/>
      <c r="F87" s="121"/>
      <c r="G87" s="122"/>
      <c r="H87" s="122"/>
      <c r="I87" s="72" t="str" cm="1">
        <f t="array" ref="I87">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87" s="72" t="str" cm="1">
        <f t="array" ref="J87">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87" s="72" t="str" cm="1">
        <f t="array" ref="K87">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87" s="72" t="str" cm="1">
        <f t="array" ref="L87">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87" s="72" t="str" cm="1">
        <f t="array" ref="M87">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87" s="72" t="str" cm="1">
        <f t="array" ref="N87">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87" s="72" t="str" cm="1">
        <f t="array" ref="O87">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87" s="72" t="str" cm="1">
        <f t="array" ref="P87">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87" s="72" t="str" cm="1">
        <f t="array" ref="Q87">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87" s="72" t="str" cm="1">
        <f t="array" ref="R87">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87" s="113"/>
      <c r="T87" s="113"/>
    </row>
    <row r="88" spans="2:20" s="190" customFormat="1" x14ac:dyDescent="0.25">
      <c r="B88" s="116" t="s">
        <v>102</v>
      </c>
      <c r="C88" s="124" t="s">
        <v>103</v>
      </c>
      <c r="D88" s="121"/>
      <c r="E88" s="121"/>
      <c r="F88" s="121"/>
      <c r="G88" s="122"/>
      <c r="H88" s="122"/>
      <c r="I88" s="183">
        <f>IF(IF(I84=$I$238,I85,IF(I84=$I$239,I85*I86,IF(I84=$I$240,I85*I86*I87,1)))=0,"Fyll i 2.6-2.8",IF(I84=$I$238,I85,IF(I84=$I$239,I85*I86,IF(I84=$I$240,I85*I86*I87,1))))</f>
        <v>1</v>
      </c>
      <c r="J88" s="183">
        <f t="shared" ref="J88:R88" si="5">IF(IF(J84=$I$238,J85,IF(J84=$I$239,J85*J86,IF(J84=$I$240,J85*J86*J87,1)))=0,"Fyll i 2.6-2.8",IF(J84=$I$238,J85,IF(J84=$I$239,J85*J86,IF(J84=$I$240,J85*J86*J87,1))))</f>
        <v>1</v>
      </c>
      <c r="K88" s="183">
        <f t="shared" si="5"/>
        <v>1</v>
      </c>
      <c r="L88" s="183">
        <f t="shared" si="5"/>
        <v>1</v>
      </c>
      <c r="M88" s="183">
        <f t="shared" si="5"/>
        <v>1</v>
      </c>
      <c r="N88" s="183">
        <f t="shared" si="5"/>
        <v>1</v>
      </c>
      <c r="O88" s="183">
        <f t="shared" si="5"/>
        <v>1</v>
      </c>
      <c r="P88" s="183">
        <f t="shared" si="5"/>
        <v>1</v>
      </c>
      <c r="Q88" s="183">
        <f t="shared" si="5"/>
        <v>1</v>
      </c>
      <c r="R88" s="183">
        <f t="shared" si="5"/>
        <v>1</v>
      </c>
      <c r="S88" s="113"/>
      <c r="T88" s="113"/>
    </row>
    <row r="89" spans="2:20" s="190" customFormat="1" x14ac:dyDescent="0.25">
      <c r="B89" s="116" t="s">
        <v>104</v>
      </c>
      <c r="C89" s="120" t="s">
        <v>105</v>
      </c>
      <c r="D89" s="121"/>
      <c r="E89" s="121"/>
      <c r="F89" s="121"/>
      <c r="G89" s="122"/>
      <c r="H89" s="122" t="s">
        <v>106</v>
      </c>
      <c r="I89" s="72"/>
      <c r="J89" s="72"/>
      <c r="K89" s="72"/>
      <c r="L89" s="72"/>
      <c r="M89" s="72"/>
      <c r="N89" s="72"/>
      <c r="O89" s="72"/>
      <c r="P89" s="72"/>
      <c r="Q89" s="72"/>
      <c r="R89" s="72"/>
      <c r="S89" s="113"/>
      <c r="T89" s="113"/>
    </row>
    <row r="90" spans="2:20" s="190" customFormat="1" x14ac:dyDescent="0.25">
      <c r="B90" s="116"/>
      <c r="C90" s="123"/>
      <c r="D90" s="123"/>
      <c r="E90" s="123"/>
      <c r="F90" s="123"/>
      <c r="G90" s="123"/>
      <c r="H90" s="123"/>
      <c r="I90" s="197"/>
      <c r="J90" s="197"/>
      <c r="K90" s="197"/>
      <c r="L90" s="197"/>
      <c r="M90" s="197"/>
      <c r="N90" s="197"/>
      <c r="O90" s="197"/>
      <c r="P90" s="197"/>
      <c r="Q90" s="197"/>
      <c r="R90" s="197"/>
      <c r="S90" s="113"/>
      <c r="T90" s="113"/>
    </row>
    <row r="91" spans="2:20" s="190" customFormat="1" x14ac:dyDescent="0.25">
      <c r="B91" s="116"/>
      <c r="C91" s="115" t="s">
        <v>111</v>
      </c>
      <c r="D91" s="123"/>
      <c r="E91" s="123"/>
      <c r="F91" s="123"/>
      <c r="G91" s="123"/>
      <c r="H91" s="123"/>
      <c r="I91" s="197"/>
      <c r="J91" s="197"/>
      <c r="K91" s="197"/>
      <c r="L91" s="197"/>
      <c r="M91" s="197"/>
      <c r="N91" s="197"/>
      <c r="O91" s="197"/>
      <c r="P91" s="197"/>
      <c r="Q91" s="197"/>
      <c r="R91" s="197"/>
      <c r="S91" s="113"/>
      <c r="T91" s="113"/>
    </row>
    <row r="92" spans="2:20" s="190" customFormat="1" x14ac:dyDescent="0.25">
      <c r="B92" s="116" t="s">
        <v>83</v>
      </c>
      <c r="C92" s="120" t="s">
        <v>84</v>
      </c>
      <c r="D92" s="121"/>
      <c r="E92" s="121"/>
      <c r="F92" s="121"/>
      <c r="G92" s="122"/>
      <c r="H92" s="122" t="s">
        <v>78</v>
      </c>
      <c r="I92" s="72"/>
      <c r="J92" s="72"/>
      <c r="K92" s="72"/>
      <c r="L92" s="72"/>
      <c r="M92" s="72"/>
      <c r="N92" s="72"/>
      <c r="O92" s="72"/>
      <c r="P92" s="72"/>
      <c r="Q92" s="72"/>
      <c r="R92" s="72"/>
      <c r="S92" s="113"/>
      <c r="T92" s="113"/>
    </row>
    <row r="93" spans="2:20" s="190" customFormat="1" x14ac:dyDescent="0.25">
      <c r="B93" s="116" t="s">
        <v>85</v>
      </c>
      <c r="C93" s="120" t="s">
        <v>86</v>
      </c>
      <c r="D93" s="121"/>
      <c r="E93" s="121"/>
      <c r="F93" s="121"/>
      <c r="G93" s="122"/>
      <c r="H93" s="122" t="s">
        <v>87</v>
      </c>
      <c r="I93" s="72"/>
      <c r="J93" s="72"/>
      <c r="K93" s="72"/>
      <c r="L93" s="72"/>
      <c r="M93" s="72"/>
      <c r="N93" s="72"/>
      <c r="O93" s="72"/>
      <c r="P93" s="72"/>
      <c r="Q93" s="72"/>
      <c r="R93" s="72"/>
      <c r="S93" s="113"/>
      <c r="T93" s="113"/>
    </row>
    <row r="94" spans="2:20" s="190" customFormat="1" x14ac:dyDescent="0.25">
      <c r="B94" s="116" t="s">
        <v>88</v>
      </c>
      <c r="C94" s="120" t="s">
        <v>89</v>
      </c>
      <c r="D94" s="121"/>
      <c r="E94" s="121"/>
      <c r="F94" s="121"/>
      <c r="G94" s="122"/>
      <c r="H94" s="122" t="s">
        <v>87</v>
      </c>
      <c r="I94" s="72"/>
      <c r="J94" s="72"/>
      <c r="K94" s="72"/>
      <c r="L94" s="72"/>
      <c r="M94" s="72"/>
      <c r="N94" s="72"/>
      <c r="O94" s="72"/>
      <c r="P94" s="72"/>
      <c r="Q94" s="72"/>
      <c r="R94" s="72"/>
      <c r="S94" s="113"/>
      <c r="T94" s="113"/>
    </row>
    <row r="95" spans="2:20" s="190" customFormat="1" x14ac:dyDescent="0.25">
      <c r="B95" s="116" t="s">
        <v>90</v>
      </c>
      <c r="C95" s="120" t="s">
        <v>91</v>
      </c>
      <c r="D95" s="121"/>
      <c r="E95" s="121"/>
      <c r="F95" s="121"/>
      <c r="G95" s="122"/>
      <c r="H95" s="122" t="s">
        <v>92</v>
      </c>
      <c r="I95" s="72"/>
      <c r="J95" s="72"/>
      <c r="K95" s="72"/>
      <c r="L95" s="72"/>
      <c r="M95" s="72"/>
      <c r="N95" s="72"/>
      <c r="O95" s="72"/>
      <c r="P95" s="72"/>
      <c r="Q95" s="72"/>
      <c r="R95" s="72"/>
      <c r="S95" s="113"/>
      <c r="T95" s="113"/>
    </row>
    <row r="96" spans="2:20" s="198" customFormat="1" x14ac:dyDescent="0.25">
      <c r="B96" s="125" t="s">
        <v>93</v>
      </c>
      <c r="C96" s="120" t="s">
        <v>94</v>
      </c>
      <c r="D96" s="126"/>
      <c r="E96" s="126"/>
      <c r="F96" s="126"/>
      <c r="G96" s="127"/>
      <c r="H96" s="127"/>
      <c r="I96" s="72" t="s">
        <v>95</v>
      </c>
      <c r="J96" s="72" t="s">
        <v>95</v>
      </c>
      <c r="K96" s="72" t="s">
        <v>95</v>
      </c>
      <c r="L96" s="72" t="s">
        <v>95</v>
      </c>
      <c r="M96" s="72" t="s">
        <v>95</v>
      </c>
      <c r="N96" s="72" t="s">
        <v>95</v>
      </c>
      <c r="O96" s="72" t="s">
        <v>95</v>
      </c>
      <c r="P96" s="72" t="s">
        <v>95</v>
      </c>
      <c r="Q96" s="72" t="s">
        <v>95</v>
      </c>
      <c r="R96" s="72" t="s">
        <v>95</v>
      </c>
      <c r="S96" s="113"/>
      <c r="T96" s="113"/>
    </row>
    <row r="97" spans="2:20" s="190" customFormat="1" ht="24.75" x14ac:dyDescent="0.25">
      <c r="B97" s="116" t="s">
        <v>96</v>
      </c>
      <c r="C97" s="120" t="s">
        <v>97</v>
      </c>
      <c r="D97" s="121"/>
      <c r="E97" s="121"/>
      <c r="F97" s="121"/>
      <c r="G97" s="122"/>
      <c r="H97" s="122"/>
      <c r="I97" s="72" t="str" cm="1">
        <f t="array" ref="I97">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97" s="72" t="str" cm="1">
        <f t="array" ref="J97">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97" s="72" t="str" cm="1">
        <f t="array" ref="K97">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97" s="72" t="str" cm="1">
        <f t="array" ref="L97">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97" s="72" t="str" cm="1">
        <f t="array" ref="M97">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97" s="72" t="str" cm="1">
        <f t="array" ref="N97">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97" s="72" t="str" cm="1">
        <f t="array" ref="O97">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97" s="72" t="str" cm="1">
        <f t="array" ref="P97">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97" s="72" t="str" cm="1">
        <f t="array" ref="Q97">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97" s="72" t="str" cm="1">
        <f t="array" ref="R97">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97" s="113"/>
      <c r="T97" s="113"/>
    </row>
    <row r="98" spans="2:20" s="190" customFormat="1" ht="24.75" x14ac:dyDescent="0.25">
      <c r="B98" s="116" t="s">
        <v>98</v>
      </c>
      <c r="C98" s="120" t="s">
        <v>99</v>
      </c>
      <c r="D98" s="121"/>
      <c r="E98" s="121"/>
      <c r="F98" s="121"/>
      <c r="G98" s="122"/>
      <c r="H98" s="122"/>
      <c r="I98" s="72" t="str" cm="1">
        <f t="array" ref="I98">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98" s="72" t="str" cm="1">
        <f t="array" ref="J98">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98" s="72" t="str" cm="1">
        <f t="array" ref="K98">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98" s="72" t="str" cm="1">
        <f t="array" ref="L98">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98" s="72" t="str" cm="1">
        <f t="array" ref="M98">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98" s="72" t="str" cm="1">
        <f t="array" ref="N98">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98" s="72" t="str" cm="1">
        <f t="array" ref="O98">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98" s="72" t="str" cm="1">
        <f t="array" ref="P98">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98" s="72" t="str" cm="1">
        <f t="array" ref="Q98">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98" s="72" t="str" cm="1">
        <f t="array" ref="R98">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98" s="113"/>
      <c r="T98" s="113"/>
    </row>
    <row r="99" spans="2:20" s="190" customFormat="1" ht="24.75" x14ac:dyDescent="0.25">
      <c r="B99" s="116" t="s">
        <v>100</v>
      </c>
      <c r="C99" s="120" t="s">
        <v>101</v>
      </c>
      <c r="D99" s="121"/>
      <c r="E99" s="121"/>
      <c r="F99" s="121"/>
      <c r="G99" s="122"/>
      <c r="H99" s="122"/>
      <c r="I99" s="72" t="str" cm="1">
        <f t="array" ref="I99">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99" s="72" t="str" cm="1">
        <f t="array" ref="J99">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99" s="72" t="str" cm="1">
        <f t="array" ref="K99">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99" s="72" t="str" cm="1">
        <f t="array" ref="L99">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99" s="72" t="str" cm="1">
        <f t="array" ref="M99">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99" s="72" t="str" cm="1">
        <f t="array" ref="N99">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99" s="72" t="str" cm="1">
        <f t="array" ref="O99">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99" s="72" t="str" cm="1">
        <f t="array" ref="P99">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99" s="72" t="str" cm="1">
        <f t="array" ref="Q99">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99" s="72" t="str" cm="1">
        <f t="array" ref="R99">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99" s="113"/>
      <c r="T99" s="113"/>
    </row>
    <row r="100" spans="2:20" s="190" customFormat="1" x14ac:dyDescent="0.25">
      <c r="B100" s="116" t="s">
        <v>102</v>
      </c>
      <c r="C100" s="124" t="s">
        <v>103</v>
      </c>
      <c r="D100" s="121"/>
      <c r="E100" s="121"/>
      <c r="F100" s="121"/>
      <c r="G100" s="122"/>
      <c r="H100" s="122"/>
      <c r="I100" s="183">
        <f>IF(IF(I96=$I$238,I97,IF(I96=$I$239,I97*I98,IF(I96=$I$240,I97*I98*I99,1)))=0,"Fyll i 2.6-2.8",IF(I96=$I$238,I97,IF(I96=$I$239,I97*I98,IF(I96=$I$240,I97*I98*I99,1))))</f>
        <v>1</v>
      </c>
      <c r="J100" s="183">
        <f t="shared" ref="J100:R100" si="6">IF(IF(J96=$I$238,J97,IF(J96=$I$239,J97*J98,IF(J96=$I$240,J97*J98*J99,1)))=0,"Fyll i 2.6-2.8",IF(J96=$I$238,J97,IF(J96=$I$239,J97*J98,IF(J96=$I$240,J97*J98*J99,1))))</f>
        <v>1</v>
      </c>
      <c r="K100" s="183">
        <f t="shared" si="6"/>
        <v>1</v>
      </c>
      <c r="L100" s="183">
        <f t="shared" si="6"/>
        <v>1</v>
      </c>
      <c r="M100" s="183">
        <f t="shared" si="6"/>
        <v>1</v>
      </c>
      <c r="N100" s="183">
        <f t="shared" si="6"/>
        <v>1</v>
      </c>
      <c r="O100" s="183">
        <f t="shared" si="6"/>
        <v>1</v>
      </c>
      <c r="P100" s="183">
        <f t="shared" si="6"/>
        <v>1</v>
      </c>
      <c r="Q100" s="183">
        <f t="shared" si="6"/>
        <v>1</v>
      </c>
      <c r="R100" s="183">
        <f t="shared" si="6"/>
        <v>1</v>
      </c>
      <c r="S100" s="113"/>
      <c r="T100" s="113"/>
    </row>
    <row r="101" spans="2:20" s="190" customFormat="1" x14ac:dyDescent="0.25">
      <c r="B101" s="116" t="s">
        <v>104</v>
      </c>
      <c r="C101" s="120" t="s">
        <v>105</v>
      </c>
      <c r="D101" s="121"/>
      <c r="E101" s="121"/>
      <c r="F101" s="121"/>
      <c r="G101" s="122"/>
      <c r="H101" s="122" t="s">
        <v>106</v>
      </c>
      <c r="I101" s="72"/>
      <c r="J101" s="72"/>
      <c r="K101" s="72"/>
      <c r="L101" s="72"/>
      <c r="M101" s="72"/>
      <c r="N101" s="72"/>
      <c r="O101" s="72"/>
      <c r="P101" s="72"/>
      <c r="Q101" s="72"/>
      <c r="R101" s="72"/>
      <c r="S101" s="113"/>
      <c r="T101" s="113"/>
    </row>
    <row r="102" spans="2:20" s="190" customFormat="1" x14ac:dyDescent="0.25">
      <c r="B102" s="116"/>
      <c r="C102" s="123"/>
      <c r="D102" s="123"/>
      <c r="E102" s="123"/>
      <c r="F102" s="123"/>
      <c r="G102" s="123"/>
      <c r="H102" s="123"/>
      <c r="I102" s="197"/>
      <c r="J102" s="197"/>
      <c r="K102" s="197"/>
      <c r="L102" s="197"/>
      <c r="M102" s="197"/>
      <c r="N102" s="197"/>
      <c r="O102" s="197"/>
      <c r="P102" s="197"/>
      <c r="Q102" s="197"/>
      <c r="R102" s="197"/>
      <c r="S102" s="113"/>
      <c r="T102" s="113"/>
    </row>
    <row r="103" spans="2:20" s="190" customFormat="1" x14ac:dyDescent="0.25">
      <c r="B103" s="116"/>
      <c r="C103" s="115" t="s">
        <v>112</v>
      </c>
      <c r="D103" s="123"/>
      <c r="E103" s="123"/>
      <c r="F103" s="123"/>
      <c r="G103" s="123"/>
      <c r="H103" s="123"/>
      <c r="I103" s="197"/>
      <c r="J103" s="197"/>
      <c r="K103" s="197"/>
      <c r="L103" s="197"/>
      <c r="M103" s="197"/>
      <c r="N103" s="197"/>
      <c r="O103" s="197"/>
      <c r="P103" s="197"/>
      <c r="Q103" s="197"/>
      <c r="R103" s="197"/>
      <c r="S103" s="113"/>
      <c r="T103" s="113"/>
    </row>
    <row r="104" spans="2:20" s="190" customFormat="1" x14ac:dyDescent="0.25">
      <c r="B104" s="116" t="s">
        <v>83</v>
      </c>
      <c r="C104" s="120" t="s">
        <v>84</v>
      </c>
      <c r="D104" s="121"/>
      <c r="E104" s="121"/>
      <c r="F104" s="121"/>
      <c r="G104" s="122"/>
      <c r="H104" s="122" t="s">
        <v>78</v>
      </c>
      <c r="I104" s="72"/>
      <c r="J104" s="72"/>
      <c r="K104" s="72"/>
      <c r="L104" s="72"/>
      <c r="M104" s="72"/>
      <c r="N104" s="72"/>
      <c r="O104" s="72"/>
      <c r="P104" s="72"/>
      <c r="Q104" s="72"/>
      <c r="R104" s="72"/>
      <c r="S104" s="113"/>
      <c r="T104" s="113"/>
    </row>
    <row r="105" spans="2:20" s="190" customFormat="1" x14ac:dyDescent="0.25">
      <c r="B105" s="116" t="s">
        <v>85</v>
      </c>
      <c r="C105" s="120" t="s">
        <v>86</v>
      </c>
      <c r="D105" s="121"/>
      <c r="E105" s="121"/>
      <c r="F105" s="121"/>
      <c r="G105" s="122"/>
      <c r="H105" s="122" t="s">
        <v>87</v>
      </c>
      <c r="I105" s="72"/>
      <c r="J105" s="72"/>
      <c r="K105" s="72"/>
      <c r="L105" s="72"/>
      <c r="M105" s="72"/>
      <c r="N105" s="72"/>
      <c r="O105" s="72"/>
      <c r="P105" s="72"/>
      <c r="Q105" s="72"/>
      <c r="R105" s="72"/>
      <c r="S105" s="113"/>
      <c r="T105" s="113"/>
    </row>
    <row r="106" spans="2:20" s="190" customFormat="1" x14ac:dyDescent="0.25">
      <c r="B106" s="116" t="s">
        <v>88</v>
      </c>
      <c r="C106" s="120" t="s">
        <v>89</v>
      </c>
      <c r="D106" s="121"/>
      <c r="E106" s="121"/>
      <c r="F106" s="121"/>
      <c r="G106" s="122"/>
      <c r="H106" s="122" t="s">
        <v>87</v>
      </c>
      <c r="I106" s="72"/>
      <c r="J106" s="72"/>
      <c r="K106" s="72"/>
      <c r="L106" s="72"/>
      <c r="M106" s="72"/>
      <c r="N106" s="72"/>
      <c r="O106" s="72"/>
      <c r="P106" s="72"/>
      <c r="Q106" s="72"/>
      <c r="R106" s="72"/>
      <c r="S106" s="113"/>
      <c r="T106" s="113"/>
    </row>
    <row r="107" spans="2:20" s="190" customFormat="1" x14ac:dyDescent="0.25">
      <c r="B107" s="116" t="s">
        <v>90</v>
      </c>
      <c r="C107" s="120" t="s">
        <v>91</v>
      </c>
      <c r="D107" s="121"/>
      <c r="E107" s="121"/>
      <c r="F107" s="121"/>
      <c r="G107" s="122"/>
      <c r="H107" s="122" t="s">
        <v>92</v>
      </c>
      <c r="I107" s="72"/>
      <c r="J107" s="72"/>
      <c r="K107" s="72"/>
      <c r="L107" s="72"/>
      <c r="M107" s="72"/>
      <c r="N107" s="72"/>
      <c r="O107" s="72"/>
      <c r="P107" s="72"/>
      <c r="Q107" s="72"/>
      <c r="R107" s="72"/>
      <c r="S107" s="113"/>
      <c r="T107" s="113"/>
    </row>
    <row r="108" spans="2:20" s="198" customFormat="1" x14ac:dyDescent="0.25">
      <c r="B108" s="125" t="s">
        <v>93</v>
      </c>
      <c r="C108" s="120" t="s">
        <v>94</v>
      </c>
      <c r="D108" s="126"/>
      <c r="E108" s="126"/>
      <c r="F108" s="126"/>
      <c r="G108" s="127"/>
      <c r="H108" s="127"/>
      <c r="I108" s="72" t="s">
        <v>95</v>
      </c>
      <c r="J108" s="72" t="s">
        <v>95</v>
      </c>
      <c r="K108" s="72" t="s">
        <v>95</v>
      </c>
      <c r="L108" s="72" t="s">
        <v>95</v>
      </c>
      <c r="M108" s="72" t="s">
        <v>95</v>
      </c>
      <c r="N108" s="72" t="s">
        <v>95</v>
      </c>
      <c r="O108" s="72" t="s">
        <v>95</v>
      </c>
      <c r="P108" s="72" t="s">
        <v>95</v>
      </c>
      <c r="Q108" s="72" t="s">
        <v>95</v>
      </c>
      <c r="R108" s="72" t="s">
        <v>95</v>
      </c>
      <c r="S108" s="113"/>
      <c r="T108" s="113"/>
    </row>
    <row r="109" spans="2:20" s="190" customFormat="1" ht="24.75" x14ac:dyDescent="0.25">
      <c r="B109" s="116" t="s">
        <v>96</v>
      </c>
      <c r="C109" s="120" t="s">
        <v>97</v>
      </c>
      <c r="D109" s="121"/>
      <c r="E109" s="121"/>
      <c r="F109" s="121"/>
      <c r="G109" s="122"/>
      <c r="H109" s="122"/>
      <c r="I109" s="72" t="str" cm="1">
        <f t="array" ref="I109">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09" s="72" t="str" cm="1">
        <f t="array" ref="J109">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09" s="72" t="str" cm="1">
        <f t="array" ref="K109">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09" s="72" t="str" cm="1">
        <f t="array" ref="L109">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09" s="72" t="str" cm="1">
        <f t="array" ref="M109">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09" s="72" t="str" cm="1">
        <f t="array" ref="N109">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09" s="72" t="str" cm="1">
        <f t="array" ref="O109">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09" s="72" t="str" cm="1">
        <f t="array" ref="P109">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09" s="72" t="str" cm="1">
        <f t="array" ref="Q109">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09" s="72" t="str" cm="1">
        <f t="array" ref="R109">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09" s="113"/>
      <c r="T109" s="113"/>
    </row>
    <row r="110" spans="2:20" s="190" customFormat="1" ht="24.75" x14ac:dyDescent="0.25">
      <c r="B110" s="116" t="s">
        <v>98</v>
      </c>
      <c r="C110" s="120" t="s">
        <v>99</v>
      </c>
      <c r="D110" s="121"/>
      <c r="E110" s="121"/>
      <c r="F110" s="121"/>
      <c r="G110" s="122"/>
      <c r="H110" s="122"/>
      <c r="I110" s="72" t="str" cm="1">
        <f t="array" ref="I110">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10" s="72" t="str" cm="1">
        <f t="array" ref="J110">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10" s="72" t="str" cm="1">
        <f t="array" ref="K110">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10" s="72" t="str" cm="1">
        <f t="array" ref="L110">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10" s="72" t="str" cm="1">
        <f t="array" ref="M110">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10" s="72" t="str" cm="1">
        <f t="array" ref="N110">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10" s="72" t="str" cm="1">
        <f t="array" ref="O110">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10" s="72" t="str" cm="1">
        <f t="array" ref="P110">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10" s="72" t="str" cm="1">
        <f t="array" ref="Q110">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10" s="72" t="str" cm="1">
        <f t="array" ref="R110">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10" s="113"/>
      <c r="T110" s="113"/>
    </row>
    <row r="111" spans="2:20" s="190" customFormat="1" ht="24.75" x14ac:dyDescent="0.25">
      <c r="B111" s="116" t="s">
        <v>100</v>
      </c>
      <c r="C111" s="120" t="s">
        <v>101</v>
      </c>
      <c r="D111" s="121"/>
      <c r="E111" s="121"/>
      <c r="F111" s="121"/>
      <c r="G111" s="122"/>
      <c r="H111" s="122"/>
      <c r="I111" s="72" t="str" cm="1">
        <f t="array" ref="I111">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11" s="72" t="str" cm="1">
        <f t="array" ref="J111">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11" s="72" t="str" cm="1">
        <f t="array" ref="K111">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11" s="72" t="str" cm="1">
        <f t="array" ref="L111">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11" s="72" t="str" cm="1">
        <f t="array" ref="M111">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11" s="72" t="str" cm="1">
        <f t="array" ref="N111">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11" s="72" t="str" cm="1">
        <f t="array" ref="O111">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11" s="72" t="str" cm="1">
        <f t="array" ref="P111">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11" s="72" t="str" cm="1">
        <f t="array" ref="Q111">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11" s="72" t="str" cm="1">
        <f t="array" ref="R111">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11" s="113"/>
      <c r="T111" s="113"/>
    </row>
    <row r="112" spans="2:20" s="190" customFormat="1" x14ac:dyDescent="0.25">
      <c r="B112" s="116" t="s">
        <v>102</v>
      </c>
      <c r="C112" s="124" t="s">
        <v>103</v>
      </c>
      <c r="D112" s="121"/>
      <c r="E112" s="121"/>
      <c r="F112" s="121"/>
      <c r="G112" s="122"/>
      <c r="H112" s="122"/>
      <c r="I112" s="183">
        <f>IF(IF(I108=$I$238,I109,IF(I108=$I$239,I109*I110,IF(I108=$I$240,I109*I110*I111,1)))=0,"Fyll i 2.6-2.8",IF(I108=$I$238,I109,IF(I108=$I$239,I109*I110,IF(I108=$I$240,I109*I110*I111,1))))</f>
        <v>1</v>
      </c>
      <c r="J112" s="183">
        <f t="shared" ref="J112:R112" si="7">IF(IF(J108=$I$238,J109,IF(J108=$I$239,J109*J110,IF(J108=$I$240,J109*J110*J111,1)))=0,"Fyll i 2.6-2.8",IF(J108=$I$238,J109,IF(J108=$I$239,J109*J110,IF(J108=$I$240,J109*J110*J111,1))))</f>
        <v>1</v>
      </c>
      <c r="K112" s="183">
        <f t="shared" si="7"/>
        <v>1</v>
      </c>
      <c r="L112" s="183">
        <f t="shared" si="7"/>
        <v>1</v>
      </c>
      <c r="M112" s="183">
        <f t="shared" si="7"/>
        <v>1</v>
      </c>
      <c r="N112" s="183">
        <f t="shared" si="7"/>
        <v>1</v>
      </c>
      <c r="O112" s="183">
        <f t="shared" si="7"/>
        <v>1</v>
      </c>
      <c r="P112" s="183">
        <f t="shared" si="7"/>
        <v>1</v>
      </c>
      <c r="Q112" s="183">
        <f t="shared" si="7"/>
        <v>1</v>
      </c>
      <c r="R112" s="183">
        <f t="shared" si="7"/>
        <v>1</v>
      </c>
      <c r="S112" s="113"/>
      <c r="T112" s="113"/>
    </row>
    <row r="113" spans="2:20" s="190" customFormat="1" x14ac:dyDescent="0.25">
      <c r="B113" s="116" t="s">
        <v>104</v>
      </c>
      <c r="C113" s="120" t="s">
        <v>105</v>
      </c>
      <c r="D113" s="121"/>
      <c r="E113" s="121"/>
      <c r="F113" s="121"/>
      <c r="G113" s="122"/>
      <c r="H113" s="122" t="s">
        <v>106</v>
      </c>
      <c r="I113" s="72"/>
      <c r="J113" s="72"/>
      <c r="K113" s="72"/>
      <c r="L113" s="72"/>
      <c r="M113" s="72"/>
      <c r="N113" s="72"/>
      <c r="O113" s="72"/>
      <c r="P113" s="72"/>
      <c r="Q113" s="72"/>
      <c r="R113" s="72"/>
      <c r="S113" s="113"/>
      <c r="T113" s="113"/>
    </row>
    <row r="114" spans="2:20" s="190" customFormat="1" x14ac:dyDescent="0.25">
      <c r="B114" s="116"/>
      <c r="C114" s="123"/>
      <c r="D114" s="123"/>
      <c r="E114" s="123"/>
      <c r="F114" s="123"/>
      <c r="G114" s="123"/>
      <c r="H114" s="123"/>
      <c r="I114" s="197"/>
      <c r="J114" s="197"/>
      <c r="K114" s="197"/>
      <c r="L114" s="197"/>
      <c r="M114" s="197"/>
      <c r="N114" s="197"/>
      <c r="O114" s="197"/>
      <c r="P114" s="197"/>
      <c r="Q114" s="197"/>
      <c r="R114" s="197"/>
      <c r="S114" s="113"/>
      <c r="T114" s="113"/>
    </row>
    <row r="115" spans="2:20" s="190" customFormat="1" x14ac:dyDescent="0.25">
      <c r="B115" s="116"/>
      <c r="C115" s="115" t="s">
        <v>113</v>
      </c>
      <c r="D115" s="123"/>
      <c r="E115" s="123"/>
      <c r="F115" s="123"/>
      <c r="G115" s="123"/>
      <c r="H115" s="123"/>
      <c r="I115" s="197"/>
      <c r="J115" s="197"/>
      <c r="K115" s="197"/>
      <c r="L115" s="197"/>
      <c r="M115" s="197"/>
      <c r="N115" s="197"/>
      <c r="O115" s="197"/>
      <c r="P115" s="197"/>
      <c r="Q115" s="197"/>
      <c r="R115" s="197"/>
      <c r="S115" s="113"/>
      <c r="T115" s="113"/>
    </row>
    <row r="116" spans="2:20" s="190" customFormat="1" x14ac:dyDescent="0.25">
      <c r="B116" s="116" t="s">
        <v>83</v>
      </c>
      <c r="C116" s="120" t="s">
        <v>84</v>
      </c>
      <c r="D116" s="121"/>
      <c r="E116" s="121"/>
      <c r="F116" s="121"/>
      <c r="G116" s="122"/>
      <c r="H116" s="122" t="s">
        <v>78</v>
      </c>
      <c r="I116" s="72"/>
      <c r="J116" s="72"/>
      <c r="K116" s="72"/>
      <c r="L116" s="72"/>
      <c r="M116" s="72"/>
      <c r="N116" s="72"/>
      <c r="O116" s="72"/>
      <c r="P116" s="72"/>
      <c r="Q116" s="72"/>
      <c r="R116" s="72"/>
      <c r="S116" s="113"/>
      <c r="T116" s="113"/>
    </row>
    <row r="117" spans="2:20" s="190" customFormat="1" x14ac:dyDescent="0.25">
      <c r="B117" s="116" t="s">
        <v>85</v>
      </c>
      <c r="C117" s="120" t="s">
        <v>86</v>
      </c>
      <c r="D117" s="121"/>
      <c r="E117" s="121"/>
      <c r="F117" s="121"/>
      <c r="G117" s="122"/>
      <c r="H117" s="122" t="s">
        <v>87</v>
      </c>
      <c r="I117" s="72"/>
      <c r="J117" s="72"/>
      <c r="K117" s="72"/>
      <c r="L117" s="72"/>
      <c r="M117" s="72"/>
      <c r="N117" s="72"/>
      <c r="O117" s="72"/>
      <c r="P117" s="72"/>
      <c r="Q117" s="72"/>
      <c r="R117" s="72"/>
      <c r="S117" s="113"/>
      <c r="T117" s="113"/>
    </row>
    <row r="118" spans="2:20" s="190" customFormat="1" x14ac:dyDescent="0.25">
      <c r="B118" s="116" t="s">
        <v>88</v>
      </c>
      <c r="C118" s="120" t="s">
        <v>89</v>
      </c>
      <c r="D118" s="121"/>
      <c r="E118" s="121"/>
      <c r="F118" s="121"/>
      <c r="G118" s="122"/>
      <c r="H118" s="122" t="s">
        <v>87</v>
      </c>
      <c r="I118" s="72"/>
      <c r="J118" s="72"/>
      <c r="K118" s="72"/>
      <c r="L118" s="72"/>
      <c r="M118" s="72"/>
      <c r="N118" s="72"/>
      <c r="O118" s="72"/>
      <c r="P118" s="72"/>
      <c r="Q118" s="72"/>
      <c r="R118" s="72"/>
      <c r="S118" s="113"/>
      <c r="T118" s="113"/>
    </row>
    <row r="119" spans="2:20" s="190" customFormat="1" x14ac:dyDescent="0.25">
      <c r="B119" s="116" t="s">
        <v>90</v>
      </c>
      <c r="C119" s="120" t="s">
        <v>91</v>
      </c>
      <c r="D119" s="121"/>
      <c r="E119" s="121"/>
      <c r="F119" s="121"/>
      <c r="G119" s="122"/>
      <c r="H119" s="122" t="s">
        <v>92</v>
      </c>
      <c r="I119" s="72"/>
      <c r="J119" s="72"/>
      <c r="K119" s="72"/>
      <c r="L119" s="72"/>
      <c r="M119" s="72"/>
      <c r="N119" s="72"/>
      <c r="O119" s="72"/>
      <c r="P119" s="72"/>
      <c r="Q119" s="72"/>
      <c r="R119" s="72"/>
      <c r="S119" s="113"/>
      <c r="T119" s="113"/>
    </row>
    <row r="120" spans="2:20" s="198" customFormat="1" x14ac:dyDescent="0.25">
      <c r="B120" s="125" t="s">
        <v>93</v>
      </c>
      <c r="C120" s="120" t="s">
        <v>94</v>
      </c>
      <c r="D120" s="126"/>
      <c r="E120" s="126"/>
      <c r="F120" s="126"/>
      <c r="G120" s="127"/>
      <c r="H120" s="127"/>
      <c r="I120" s="72" t="s">
        <v>95</v>
      </c>
      <c r="J120" s="72" t="s">
        <v>95</v>
      </c>
      <c r="K120" s="72" t="s">
        <v>95</v>
      </c>
      <c r="L120" s="72" t="s">
        <v>95</v>
      </c>
      <c r="M120" s="72" t="s">
        <v>95</v>
      </c>
      <c r="N120" s="72" t="s">
        <v>95</v>
      </c>
      <c r="O120" s="72" t="s">
        <v>95</v>
      </c>
      <c r="P120" s="72" t="s">
        <v>95</v>
      </c>
      <c r="Q120" s="72" t="s">
        <v>95</v>
      </c>
      <c r="R120" s="72" t="s">
        <v>95</v>
      </c>
      <c r="S120" s="113"/>
      <c r="T120" s="113"/>
    </row>
    <row r="121" spans="2:20" s="190" customFormat="1" ht="24.75" x14ac:dyDescent="0.25">
      <c r="B121" s="116" t="s">
        <v>96</v>
      </c>
      <c r="C121" s="120" t="s">
        <v>97</v>
      </c>
      <c r="D121" s="121"/>
      <c r="E121" s="121"/>
      <c r="F121" s="121"/>
      <c r="G121" s="122"/>
      <c r="H121" s="122"/>
      <c r="I121" s="72" t="str" cm="1">
        <f t="array" ref="I121">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21" s="72" t="str" cm="1">
        <f t="array" ref="J121">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21" s="72" t="str" cm="1">
        <f t="array" ref="K121">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21" s="72" t="str" cm="1">
        <f t="array" ref="L121">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21" s="72" t="str" cm="1">
        <f t="array" ref="M121">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21" s="72" t="str" cm="1">
        <f t="array" ref="N121">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21" s="72" t="str" cm="1">
        <f t="array" ref="O121">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21" s="72" t="str" cm="1">
        <f t="array" ref="P121">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21" s="72" t="str" cm="1">
        <f t="array" ref="Q121">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21" s="72" t="str" cm="1">
        <f t="array" ref="R121">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21" s="113"/>
      <c r="T121" s="113"/>
    </row>
    <row r="122" spans="2:20" s="190" customFormat="1" ht="24.75" x14ac:dyDescent="0.25">
      <c r="B122" s="116" t="s">
        <v>98</v>
      </c>
      <c r="C122" s="120" t="s">
        <v>99</v>
      </c>
      <c r="D122" s="121"/>
      <c r="E122" s="121"/>
      <c r="F122" s="121"/>
      <c r="G122" s="122"/>
      <c r="H122" s="122"/>
      <c r="I122" s="72" t="str" cm="1">
        <f t="array" ref="I122">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22" s="72" t="str" cm="1">
        <f t="array" ref="J122">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22" s="72" t="str" cm="1">
        <f t="array" ref="K122">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22" s="72" t="str" cm="1">
        <f t="array" ref="L122">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22" s="72" t="str" cm="1">
        <f t="array" ref="M122">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22" s="72" t="str" cm="1">
        <f t="array" ref="N122">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22" s="72" t="str" cm="1">
        <f t="array" ref="O122">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22" s="72" t="str" cm="1">
        <f t="array" ref="P122">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22" s="72" t="str" cm="1">
        <f t="array" ref="Q122">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22" s="72" t="str" cm="1">
        <f t="array" ref="R122">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22" s="113"/>
      <c r="T122" s="113"/>
    </row>
    <row r="123" spans="2:20" s="190" customFormat="1" ht="24.75" x14ac:dyDescent="0.25">
      <c r="B123" s="116" t="s">
        <v>100</v>
      </c>
      <c r="C123" s="120" t="s">
        <v>101</v>
      </c>
      <c r="D123" s="121"/>
      <c r="E123" s="121"/>
      <c r="F123" s="121"/>
      <c r="G123" s="122"/>
      <c r="H123" s="122"/>
      <c r="I123" s="72" t="str" cm="1">
        <f t="array" ref="I123">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23" s="72" t="str" cm="1">
        <f t="array" ref="J123">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23" s="72" t="str" cm="1">
        <f t="array" ref="K123">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23" s="72" t="str" cm="1">
        <f t="array" ref="L123">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23" s="72" t="str" cm="1">
        <f t="array" ref="M123">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23" s="72" t="str" cm="1">
        <f t="array" ref="N123">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23" s="72" t="str" cm="1">
        <f t="array" ref="O123">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23" s="72" t="str" cm="1">
        <f t="array" ref="P123">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23" s="72" t="str" cm="1">
        <f t="array" ref="Q123">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23" s="72" t="str" cm="1">
        <f t="array" ref="R123">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23" s="113"/>
      <c r="T123" s="113"/>
    </row>
    <row r="124" spans="2:20" s="190" customFormat="1" x14ac:dyDescent="0.25">
      <c r="B124" s="116" t="s">
        <v>102</v>
      </c>
      <c r="C124" s="124" t="s">
        <v>103</v>
      </c>
      <c r="D124" s="121"/>
      <c r="E124" s="121"/>
      <c r="F124" s="121"/>
      <c r="G124" s="122"/>
      <c r="H124" s="122"/>
      <c r="I124" s="183">
        <f>IF(IF(I120=$I$238,I121,IF(I120=$I$239,I121*I122,IF(I120=$I$240,I121*I122*I123,1)))=0,"Fyll i 2.6-2.8",IF(I120=$I$238,I121,IF(I120=$I$239,I121*I122,IF(I120=$I$240,I121*I122*I123,1))))</f>
        <v>1</v>
      </c>
      <c r="J124" s="183">
        <f t="shared" ref="J124:R124" si="8">IF(IF(J120=$I$238,J121,IF(J120=$I$239,J121*J122,IF(J120=$I$240,J121*J122*J123,1)))=0,"Fyll i 2.6-2.8",IF(J120=$I$238,J121,IF(J120=$I$239,J121*J122,IF(J120=$I$240,J121*J122*J123,1))))</f>
        <v>1</v>
      </c>
      <c r="K124" s="183">
        <f t="shared" si="8"/>
        <v>1</v>
      </c>
      <c r="L124" s="183">
        <f t="shared" si="8"/>
        <v>1</v>
      </c>
      <c r="M124" s="183">
        <f t="shared" si="8"/>
        <v>1</v>
      </c>
      <c r="N124" s="183">
        <f t="shared" si="8"/>
        <v>1</v>
      </c>
      <c r="O124" s="183">
        <f t="shared" si="8"/>
        <v>1</v>
      </c>
      <c r="P124" s="183">
        <f t="shared" si="8"/>
        <v>1</v>
      </c>
      <c r="Q124" s="183">
        <f t="shared" si="8"/>
        <v>1</v>
      </c>
      <c r="R124" s="183">
        <f t="shared" si="8"/>
        <v>1</v>
      </c>
      <c r="S124" s="113"/>
      <c r="T124" s="113"/>
    </row>
    <row r="125" spans="2:20" s="190" customFormat="1" x14ac:dyDescent="0.25">
      <c r="B125" s="116" t="s">
        <v>104</v>
      </c>
      <c r="C125" s="120" t="s">
        <v>105</v>
      </c>
      <c r="D125" s="121"/>
      <c r="E125" s="121"/>
      <c r="F125" s="121"/>
      <c r="G125" s="122"/>
      <c r="H125" s="122" t="s">
        <v>106</v>
      </c>
      <c r="I125" s="72"/>
      <c r="J125" s="72"/>
      <c r="K125" s="72"/>
      <c r="L125" s="72"/>
      <c r="M125" s="72"/>
      <c r="N125" s="72"/>
      <c r="O125" s="72"/>
      <c r="P125" s="72"/>
      <c r="Q125" s="72"/>
      <c r="R125" s="72"/>
      <c r="S125" s="113"/>
      <c r="T125" s="113"/>
    </row>
    <row r="126" spans="2:20" s="190" customFormat="1" x14ac:dyDescent="0.25">
      <c r="B126" s="116"/>
      <c r="C126" s="123"/>
      <c r="D126" s="123"/>
      <c r="E126" s="123"/>
      <c r="F126" s="123"/>
      <c r="G126" s="123"/>
      <c r="H126" s="123"/>
      <c r="I126" s="197"/>
      <c r="J126" s="197"/>
      <c r="K126" s="197"/>
      <c r="L126" s="197"/>
      <c r="M126" s="197"/>
      <c r="N126" s="197"/>
      <c r="O126" s="197"/>
      <c r="P126" s="197"/>
      <c r="Q126" s="197"/>
      <c r="R126" s="197"/>
      <c r="S126" s="113"/>
      <c r="T126" s="113"/>
    </row>
    <row r="127" spans="2:20" s="190" customFormat="1" x14ac:dyDescent="0.25">
      <c r="B127" s="116"/>
      <c r="C127" s="115" t="s">
        <v>114</v>
      </c>
      <c r="D127" s="123"/>
      <c r="E127" s="123"/>
      <c r="F127" s="123"/>
      <c r="G127" s="123"/>
      <c r="H127" s="123"/>
      <c r="I127" s="197"/>
      <c r="J127" s="197"/>
      <c r="K127" s="197"/>
      <c r="L127" s="197"/>
      <c r="M127" s="197"/>
      <c r="N127" s="197"/>
      <c r="O127" s="197"/>
      <c r="P127" s="197"/>
      <c r="Q127" s="197"/>
      <c r="R127" s="197"/>
      <c r="S127" s="113"/>
      <c r="T127" s="113"/>
    </row>
    <row r="128" spans="2:20" s="190" customFormat="1" x14ac:dyDescent="0.25">
      <c r="B128" s="116" t="s">
        <v>83</v>
      </c>
      <c r="C128" s="120" t="s">
        <v>84</v>
      </c>
      <c r="D128" s="121"/>
      <c r="E128" s="121"/>
      <c r="F128" s="121"/>
      <c r="G128" s="122"/>
      <c r="H128" s="122" t="s">
        <v>78</v>
      </c>
      <c r="I128" s="72"/>
      <c r="J128" s="72"/>
      <c r="K128" s="72"/>
      <c r="L128" s="72"/>
      <c r="M128" s="72"/>
      <c r="N128" s="72"/>
      <c r="O128" s="72"/>
      <c r="P128" s="72"/>
      <c r="Q128" s="72"/>
      <c r="R128" s="72"/>
      <c r="S128" s="113"/>
      <c r="T128" s="113"/>
    </row>
    <row r="129" spans="2:20" s="190" customFormat="1" x14ac:dyDescent="0.25">
      <c r="B129" s="116" t="s">
        <v>85</v>
      </c>
      <c r="C129" s="120" t="s">
        <v>86</v>
      </c>
      <c r="D129" s="121"/>
      <c r="E129" s="121"/>
      <c r="F129" s="121"/>
      <c r="G129" s="122"/>
      <c r="H129" s="122" t="s">
        <v>87</v>
      </c>
      <c r="I129" s="72"/>
      <c r="J129" s="72"/>
      <c r="K129" s="72"/>
      <c r="L129" s="72"/>
      <c r="M129" s="72"/>
      <c r="N129" s="72"/>
      <c r="O129" s="72"/>
      <c r="P129" s="72"/>
      <c r="Q129" s="72"/>
      <c r="R129" s="72"/>
      <c r="S129" s="113"/>
      <c r="T129" s="113"/>
    </row>
    <row r="130" spans="2:20" s="190" customFormat="1" x14ac:dyDescent="0.25">
      <c r="B130" s="116" t="s">
        <v>88</v>
      </c>
      <c r="C130" s="120" t="s">
        <v>89</v>
      </c>
      <c r="D130" s="121"/>
      <c r="E130" s="121"/>
      <c r="F130" s="121"/>
      <c r="G130" s="122"/>
      <c r="H130" s="122" t="s">
        <v>87</v>
      </c>
      <c r="I130" s="72"/>
      <c r="J130" s="72"/>
      <c r="K130" s="72"/>
      <c r="L130" s="72"/>
      <c r="M130" s="72"/>
      <c r="N130" s="72"/>
      <c r="O130" s="72"/>
      <c r="P130" s="72"/>
      <c r="Q130" s="72"/>
      <c r="R130" s="72"/>
      <c r="S130" s="113"/>
      <c r="T130" s="113"/>
    </row>
    <row r="131" spans="2:20" s="190" customFormat="1" x14ac:dyDescent="0.25">
      <c r="B131" s="116" t="s">
        <v>90</v>
      </c>
      <c r="C131" s="120" t="s">
        <v>91</v>
      </c>
      <c r="D131" s="121"/>
      <c r="E131" s="121"/>
      <c r="F131" s="121"/>
      <c r="G131" s="122"/>
      <c r="H131" s="122" t="s">
        <v>92</v>
      </c>
      <c r="I131" s="72"/>
      <c r="J131" s="72"/>
      <c r="K131" s="72"/>
      <c r="L131" s="72"/>
      <c r="M131" s="72"/>
      <c r="N131" s="72"/>
      <c r="O131" s="72"/>
      <c r="P131" s="72"/>
      <c r="Q131" s="72"/>
      <c r="R131" s="72"/>
      <c r="S131" s="113"/>
      <c r="T131" s="113"/>
    </row>
    <row r="132" spans="2:20" s="198" customFormat="1" x14ac:dyDescent="0.25">
      <c r="B132" s="125" t="s">
        <v>93</v>
      </c>
      <c r="C132" s="120" t="s">
        <v>94</v>
      </c>
      <c r="D132" s="126"/>
      <c r="E132" s="126"/>
      <c r="F132" s="126"/>
      <c r="G132" s="127"/>
      <c r="H132" s="127"/>
      <c r="I132" s="72" t="s">
        <v>95</v>
      </c>
      <c r="J132" s="72" t="s">
        <v>95</v>
      </c>
      <c r="K132" s="72" t="s">
        <v>95</v>
      </c>
      <c r="L132" s="72" t="s">
        <v>95</v>
      </c>
      <c r="M132" s="72" t="s">
        <v>95</v>
      </c>
      <c r="N132" s="72" t="s">
        <v>95</v>
      </c>
      <c r="O132" s="72" t="s">
        <v>95</v>
      </c>
      <c r="P132" s="72" t="s">
        <v>95</v>
      </c>
      <c r="Q132" s="72" t="s">
        <v>95</v>
      </c>
      <c r="R132" s="72" t="s">
        <v>95</v>
      </c>
      <c r="S132" s="113"/>
      <c r="T132" s="113"/>
    </row>
    <row r="133" spans="2:20" s="190" customFormat="1" ht="24.75" x14ac:dyDescent="0.25">
      <c r="B133" s="116" t="s">
        <v>96</v>
      </c>
      <c r="C133" s="120" t="s">
        <v>97</v>
      </c>
      <c r="D133" s="121"/>
      <c r="E133" s="121"/>
      <c r="F133" s="121"/>
      <c r="G133" s="122"/>
      <c r="H133" s="122"/>
      <c r="I133" s="72" t="str" cm="1">
        <f t="array" ref="I133">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33" s="72" t="str" cm="1">
        <f t="array" ref="J133">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33" s="72" t="str" cm="1">
        <f t="array" ref="K133">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33" s="72" t="str" cm="1">
        <f t="array" ref="L133">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33" s="72" t="str" cm="1">
        <f t="array" ref="M133">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33" s="72" t="str" cm="1">
        <f t="array" ref="N133">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33" s="72" t="str" cm="1">
        <f t="array" ref="O133">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33" s="72" t="str" cm="1">
        <f t="array" ref="P133">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33" s="72" t="str" cm="1">
        <f t="array" ref="Q133">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33" s="72" t="str" cm="1">
        <f t="array" ref="R133">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33" s="113"/>
      <c r="T133" s="113"/>
    </row>
    <row r="134" spans="2:20" s="190" customFormat="1" ht="24.75" x14ac:dyDescent="0.25">
      <c r="B134" s="116" t="s">
        <v>98</v>
      </c>
      <c r="C134" s="120" t="s">
        <v>99</v>
      </c>
      <c r="D134" s="121"/>
      <c r="E134" s="121"/>
      <c r="F134" s="121"/>
      <c r="G134" s="122"/>
      <c r="H134" s="122"/>
      <c r="I134" s="72" t="str" cm="1">
        <f t="array" ref="I134">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34" s="72" t="str" cm="1">
        <f t="array" ref="J134">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34" s="72" t="str" cm="1">
        <f t="array" ref="K134">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34" s="72" t="str" cm="1">
        <f t="array" ref="L134">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34" s="72" t="str" cm="1">
        <f t="array" ref="M134">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34" s="72" t="str" cm="1">
        <f t="array" ref="N134">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34" s="72" t="str" cm="1">
        <f t="array" ref="O134">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34" s="72" t="str" cm="1">
        <f t="array" ref="P134">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34" s="72" t="str" cm="1">
        <f t="array" ref="Q134">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34" s="72" t="str" cm="1">
        <f t="array" ref="R134">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34" s="113"/>
      <c r="T134" s="113"/>
    </row>
    <row r="135" spans="2:20" s="190" customFormat="1" ht="24.75" x14ac:dyDescent="0.25">
      <c r="B135" s="116" t="s">
        <v>100</v>
      </c>
      <c r="C135" s="120" t="s">
        <v>101</v>
      </c>
      <c r="D135" s="121"/>
      <c r="E135" s="121"/>
      <c r="F135" s="121"/>
      <c r="G135" s="122"/>
      <c r="H135" s="122"/>
      <c r="I135" s="72" t="str" cm="1">
        <f t="array" ref="I135">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35" s="72" t="str" cm="1">
        <f t="array" ref="J135">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35" s="72" t="str" cm="1">
        <f t="array" ref="K135">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35" s="72" t="str" cm="1">
        <f t="array" ref="L135">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35" s="72" t="str" cm="1">
        <f t="array" ref="M135">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35" s="72" t="str" cm="1">
        <f t="array" ref="N135">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35" s="72" t="str" cm="1">
        <f t="array" ref="O135">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35" s="72" t="str" cm="1">
        <f t="array" ref="P135">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35" s="72" t="str" cm="1">
        <f t="array" ref="Q135">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35" s="72" t="str" cm="1">
        <f t="array" ref="R135">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35" s="113"/>
      <c r="T135" s="113"/>
    </row>
    <row r="136" spans="2:20" s="190" customFormat="1" x14ac:dyDescent="0.25">
      <c r="B136" s="116" t="s">
        <v>102</v>
      </c>
      <c r="C136" s="124" t="s">
        <v>103</v>
      </c>
      <c r="D136" s="121"/>
      <c r="E136" s="121"/>
      <c r="F136" s="121"/>
      <c r="G136" s="122"/>
      <c r="H136" s="122"/>
      <c r="I136" s="183">
        <f>IF(IF(I132=$I$238,I133,IF(I132=$I$239,I133*I134,IF(I132=$I$240,I133*I134*I135,1)))=0,"Fyll i 2.6-2.8",IF(I132=$I$238,I133,IF(I132=$I$239,I133*I134,IF(I132=$I$240,I133*I134*I135,1))))</f>
        <v>1</v>
      </c>
      <c r="J136" s="183">
        <f t="shared" ref="J136:R136" si="9">IF(IF(J132=$I$238,J133,IF(J132=$I$239,J133*J134,IF(J132=$I$240,J133*J134*J135,1)))=0,"Fyll i 2.6-2.8",IF(J132=$I$238,J133,IF(J132=$I$239,J133*J134,IF(J132=$I$240,J133*J134*J135,1))))</f>
        <v>1</v>
      </c>
      <c r="K136" s="183">
        <f t="shared" si="9"/>
        <v>1</v>
      </c>
      <c r="L136" s="183">
        <f t="shared" si="9"/>
        <v>1</v>
      </c>
      <c r="M136" s="183">
        <f t="shared" si="9"/>
        <v>1</v>
      </c>
      <c r="N136" s="183">
        <f t="shared" si="9"/>
        <v>1</v>
      </c>
      <c r="O136" s="183">
        <f t="shared" si="9"/>
        <v>1</v>
      </c>
      <c r="P136" s="183">
        <f t="shared" si="9"/>
        <v>1</v>
      </c>
      <c r="Q136" s="183">
        <f t="shared" si="9"/>
        <v>1</v>
      </c>
      <c r="R136" s="183">
        <f t="shared" si="9"/>
        <v>1</v>
      </c>
      <c r="S136" s="113"/>
      <c r="T136" s="113"/>
    </row>
    <row r="137" spans="2:20" s="190" customFormat="1" x14ac:dyDescent="0.25">
      <c r="B137" s="116" t="s">
        <v>104</v>
      </c>
      <c r="C137" s="120" t="s">
        <v>105</v>
      </c>
      <c r="D137" s="121"/>
      <c r="E137" s="121"/>
      <c r="F137" s="121"/>
      <c r="G137" s="122"/>
      <c r="H137" s="122" t="s">
        <v>106</v>
      </c>
      <c r="I137" s="72"/>
      <c r="J137" s="72"/>
      <c r="K137" s="72"/>
      <c r="L137" s="72"/>
      <c r="M137" s="72"/>
      <c r="N137" s="72"/>
      <c r="O137" s="72"/>
      <c r="P137" s="72"/>
      <c r="Q137" s="72"/>
      <c r="R137" s="72"/>
      <c r="S137" s="113"/>
      <c r="T137" s="113"/>
    </row>
    <row r="138" spans="2:20" s="190" customFormat="1" x14ac:dyDescent="0.25">
      <c r="B138" s="116"/>
      <c r="C138" s="123"/>
      <c r="D138" s="123"/>
      <c r="E138" s="123"/>
      <c r="F138" s="123"/>
      <c r="G138" s="123"/>
      <c r="H138" s="123"/>
      <c r="I138" s="197"/>
      <c r="J138" s="197"/>
      <c r="K138" s="197"/>
      <c r="L138" s="197"/>
      <c r="M138" s="197"/>
      <c r="N138" s="197"/>
      <c r="O138" s="197"/>
      <c r="P138" s="197"/>
      <c r="Q138" s="197"/>
      <c r="R138" s="197"/>
      <c r="S138" s="113"/>
      <c r="T138" s="113"/>
    </row>
    <row r="139" spans="2:20" s="190" customFormat="1" x14ac:dyDescent="0.25">
      <c r="B139" s="116"/>
      <c r="C139" s="115" t="s">
        <v>115</v>
      </c>
      <c r="D139" s="123"/>
      <c r="E139" s="123"/>
      <c r="F139" s="123"/>
      <c r="G139" s="123"/>
      <c r="H139" s="123"/>
      <c r="I139" s="197"/>
      <c r="J139" s="197"/>
      <c r="K139" s="197"/>
      <c r="L139" s="197"/>
      <c r="M139" s="197"/>
      <c r="N139" s="197"/>
      <c r="O139" s="197"/>
      <c r="P139" s="197"/>
      <c r="Q139" s="197"/>
      <c r="R139" s="197"/>
      <c r="S139" s="113"/>
      <c r="T139" s="113"/>
    </row>
    <row r="140" spans="2:20" s="190" customFormat="1" x14ac:dyDescent="0.25">
      <c r="B140" s="116" t="s">
        <v>83</v>
      </c>
      <c r="C140" s="120" t="s">
        <v>84</v>
      </c>
      <c r="D140" s="121"/>
      <c r="E140" s="121"/>
      <c r="F140" s="121"/>
      <c r="G140" s="122"/>
      <c r="H140" s="122" t="s">
        <v>78</v>
      </c>
      <c r="I140" s="72"/>
      <c r="J140" s="72"/>
      <c r="K140" s="72"/>
      <c r="L140" s="72"/>
      <c r="M140" s="72"/>
      <c r="N140" s="72"/>
      <c r="O140" s="72"/>
      <c r="P140" s="72"/>
      <c r="Q140" s="72"/>
      <c r="R140" s="72"/>
      <c r="S140" s="113"/>
      <c r="T140" s="113"/>
    </row>
    <row r="141" spans="2:20" s="190" customFormat="1" x14ac:dyDescent="0.25">
      <c r="B141" s="116" t="s">
        <v>85</v>
      </c>
      <c r="C141" s="120" t="s">
        <v>86</v>
      </c>
      <c r="D141" s="121"/>
      <c r="E141" s="121"/>
      <c r="F141" s="121"/>
      <c r="G141" s="122"/>
      <c r="H141" s="122" t="s">
        <v>87</v>
      </c>
      <c r="I141" s="72"/>
      <c r="J141" s="72"/>
      <c r="K141" s="72"/>
      <c r="L141" s="72"/>
      <c r="M141" s="72"/>
      <c r="N141" s="72"/>
      <c r="O141" s="72"/>
      <c r="P141" s="72"/>
      <c r="Q141" s="72"/>
      <c r="R141" s="72"/>
      <c r="S141" s="113"/>
      <c r="T141" s="113"/>
    </row>
    <row r="142" spans="2:20" s="190" customFormat="1" x14ac:dyDescent="0.25">
      <c r="B142" s="116" t="s">
        <v>88</v>
      </c>
      <c r="C142" s="120" t="s">
        <v>89</v>
      </c>
      <c r="D142" s="121"/>
      <c r="E142" s="121"/>
      <c r="F142" s="121"/>
      <c r="G142" s="122"/>
      <c r="H142" s="122" t="s">
        <v>87</v>
      </c>
      <c r="I142" s="72"/>
      <c r="J142" s="72"/>
      <c r="K142" s="72"/>
      <c r="L142" s="72"/>
      <c r="M142" s="72"/>
      <c r="N142" s="72"/>
      <c r="O142" s="72"/>
      <c r="P142" s="72"/>
      <c r="Q142" s="72"/>
      <c r="R142" s="72"/>
      <c r="S142" s="113"/>
      <c r="T142" s="113"/>
    </row>
    <row r="143" spans="2:20" s="190" customFormat="1" x14ac:dyDescent="0.25">
      <c r="B143" s="116" t="s">
        <v>90</v>
      </c>
      <c r="C143" s="120" t="s">
        <v>91</v>
      </c>
      <c r="D143" s="121"/>
      <c r="E143" s="121"/>
      <c r="F143" s="121"/>
      <c r="G143" s="122"/>
      <c r="H143" s="122" t="s">
        <v>92</v>
      </c>
      <c r="I143" s="72"/>
      <c r="J143" s="72"/>
      <c r="K143" s="72"/>
      <c r="L143" s="72"/>
      <c r="M143" s="72"/>
      <c r="N143" s="72"/>
      <c r="O143" s="72"/>
      <c r="P143" s="72"/>
      <c r="Q143" s="72"/>
      <c r="R143" s="72"/>
      <c r="S143" s="113"/>
      <c r="T143" s="113"/>
    </row>
    <row r="144" spans="2:20" s="198" customFormat="1" x14ac:dyDescent="0.25">
      <c r="B144" s="125" t="s">
        <v>93</v>
      </c>
      <c r="C144" s="120" t="s">
        <v>94</v>
      </c>
      <c r="D144" s="126"/>
      <c r="E144" s="126"/>
      <c r="F144" s="126"/>
      <c r="G144" s="127"/>
      <c r="H144" s="127"/>
      <c r="I144" s="72" t="s">
        <v>95</v>
      </c>
      <c r="J144" s="72" t="s">
        <v>95</v>
      </c>
      <c r="K144" s="72" t="s">
        <v>95</v>
      </c>
      <c r="L144" s="72" t="s">
        <v>95</v>
      </c>
      <c r="M144" s="72" t="s">
        <v>95</v>
      </c>
      <c r="N144" s="72" t="s">
        <v>95</v>
      </c>
      <c r="O144" s="72" t="s">
        <v>95</v>
      </c>
      <c r="P144" s="72" t="s">
        <v>95</v>
      </c>
      <c r="Q144" s="72" t="s">
        <v>95</v>
      </c>
      <c r="R144" s="72" t="s">
        <v>95</v>
      </c>
      <c r="S144" s="113"/>
      <c r="T144" s="113"/>
    </row>
    <row r="145" spans="1:20" s="190" customFormat="1" ht="24.75" x14ac:dyDescent="0.25">
      <c r="B145" s="116" t="s">
        <v>96</v>
      </c>
      <c r="C145" s="120" t="s">
        <v>97</v>
      </c>
      <c r="D145" s="121"/>
      <c r="E145" s="121"/>
      <c r="F145" s="121"/>
      <c r="G145" s="122"/>
      <c r="H145" s="122"/>
      <c r="I145" s="72" t="str" cm="1">
        <f t="array" ref="I145">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145" s="72" t="str" cm="1">
        <f t="array" ref="J145">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145" s="72" t="str" cm="1">
        <f t="array" ref="K145">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145" s="72" t="str" cm="1">
        <f t="array" ref="L145">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145" s="72" t="str" cm="1">
        <f t="array" ref="M145">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145" s="72" t="str" cm="1">
        <f t="array" ref="N145">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145" s="72" t="str" cm="1">
        <f t="array" ref="O145">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145" s="72" t="str" cm="1">
        <f t="array" ref="P145">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145" s="72" t="str" cm="1">
        <f t="array" ref="Q145">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145" s="72" t="str" cm="1">
        <f t="array" ref="R145">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145" s="113"/>
      <c r="T145" s="113"/>
    </row>
    <row r="146" spans="1:20" s="190" customFormat="1" ht="24.75" x14ac:dyDescent="0.25">
      <c r="B146" s="116" t="s">
        <v>98</v>
      </c>
      <c r="C146" s="120" t="s">
        <v>99</v>
      </c>
      <c r="D146" s="121"/>
      <c r="E146" s="121"/>
      <c r="F146" s="121"/>
      <c r="G146" s="122"/>
      <c r="H146" s="122"/>
      <c r="I146" s="72" t="str" cm="1">
        <f t="array" ref="I146">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146" s="72" t="str" cm="1">
        <f t="array" ref="J146">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146" s="72" t="str" cm="1">
        <f t="array" ref="K146">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146" s="72" t="str" cm="1">
        <f t="array" ref="L146">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146" s="72" t="str" cm="1">
        <f t="array" ref="M146">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146" s="72" t="str" cm="1">
        <f t="array" ref="N146">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146" s="72" t="str" cm="1">
        <f t="array" ref="O146">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146" s="72" t="str" cm="1">
        <f t="array" ref="P146">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146" s="72" t="str" cm="1">
        <f t="array" ref="Q146">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146" s="72" t="str" cm="1">
        <f t="array" ref="R146">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146" s="113"/>
      <c r="T146" s="113"/>
    </row>
    <row r="147" spans="1:20" s="190" customFormat="1" ht="24.75" x14ac:dyDescent="0.25">
      <c r="B147" s="116" t="s">
        <v>100</v>
      </c>
      <c r="C147" s="120" t="s">
        <v>101</v>
      </c>
      <c r="D147" s="121"/>
      <c r="E147" s="121"/>
      <c r="F147" s="121"/>
      <c r="G147" s="122"/>
      <c r="H147" s="122"/>
      <c r="I147" s="72" t="str" cm="1">
        <f t="array" ref="I147">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147" s="72" t="str" cm="1">
        <f t="array" ref="J147">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147" s="72" t="str" cm="1">
        <f t="array" ref="K147">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147" s="72" t="str" cm="1">
        <f t="array" ref="L147">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147" s="72" t="str" cm="1">
        <f t="array" ref="M147">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147" s="72" t="str" cm="1">
        <f t="array" ref="N147">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147" s="72" t="str" cm="1">
        <f t="array" ref="O147">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147" s="72" t="str" cm="1">
        <f t="array" ref="P147">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147" s="72" t="str" cm="1">
        <f t="array" ref="Q147">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147" s="72" t="str" cm="1">
        <f t="array" ref="R147">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147" s="113"/>
      <c r="T147" s="113"/>
    </row>
    <row r="148" spans="1:20" s="190" customFormat="1" x14ac:dyDescent="0.25">
      <c r="B148" s="116" t="s">
        <v>102</v>
      </c>
      <c r="C148" s="124" t="s">
        <v>103</v>
      </c>
      <c r="D148" s="121"/>
      <c r="E148" s="121"/>
      <c r="F148" s="121"/>
      <c r="G148" s="122"/>
      <c r="H148" s="122"/>
      <c r="I148" s="183">
        <f>IF(IF(I144=$I$238,I145,IF(I144=$I$239,I145*I146,IF(I144=$I$240,I145*I146*I147,1)))=0,"Fyll i 2.6-2.8",IF(I144=$I$238,I145,IF(I144=$I$239,I145*I146,IF(I144=$I$240,I145*I146*I147,1))))</f>
        <v>1</v>
      </c>
      <c r="J148" s="183">
        <f t="shared" ref="J148:R148" si="10">IF(IF(J144=$I$238,J145,IF(J144=$I$239,J145*J146,IF(J144=$I$240,J145*J146*J147,1)))=0,"Fyll i 2.6-2.8",IF(J144=$I$238,J145,IF(J144=$I$239,J145*J146,IF(J144=$I$240,J145*J146*J147,1))))</f>
        <v>1</v>
      </c>
      <c r="K148" s="183">
        <f t="shared" si="10"/>
        <v>1</v>
      </c>
      <c r="L148" s="183">
        <f t="shared" si="10"/>
        <v>1</v>
      </c>
      <c r="M148" s="183">
        <f t="shared" si="10"/>
        <v>1</v>
      </c>
      <c r="N148" s="183">
        <f t="shared" si="10"/>
        <v>1</v>
      </c>
      <c r="O148" s="183">
        <f t="shared" si="10"/>
        <v>1</v>
      </c>
      <c r="P148" s="183">
        <f t="shared" si="10"/>
        <v>1</v>
      </c>
      <c r="Q148" s="183">
        <f t="shared" si="10"/>
        <v>1</v>
      </c>
      <c r="R148" s="183">
        <f t="shared" si="10"/>
        <v>1</v>
      </c>
      <c r="S148" s="113"/>
      <c r="T148" s="113"/>
    </row>
    <row r="149" spans="1:20" s="190" customFormat="1" x14ac:dyDescent="0.25">
      <c r="B149" s="116" t="s">
        <v>104</v>
      </c>
      <c r="C149" s="120" t="s">
        <v>105</v>
      </c>
      <c r="D149" s="121"/>
      <c r="E149" s="121"/>
      <c r="F149" s="121"/>
      <c r="G149" s="122"/>
      <c r="H149" s="122" t="s">
        <v>106</v>
      </c>
      <c r="I149" s="72"/>
      <c r="J149" s="72"/>
      <c r="K149" s="72"/>
      <c r="L149" s="72"/>
      <c r="M149" s="72"/>
      <c r="N149" s="72"/>
      <c r="O149" s="72"/>
      <c r="P149" s="72"/>
      <c r="Q149" s="72"/>
      <c r="R149" s="72"/>
      <c r="S149" s="113"/>
      <c r="T149" s="113"/>
    </row>
    <row r="150" spans="1:20" s="190" customFormat="1" x14ac:dyDescent="0.25">
      <c r="B150" s="116"/>
      <c r="C150" s="123"/>
      <c r="D150" s="123"/>
      <c r="E150" s="123"/>
      <c r="F150" s="123"/>
      <c r="G150" s="123"/>
      <c r="H150" s="123"/>
      <c r="I150" s="197"/>
      <c r="J150" s="197"/>
      <c r="K150" s="197"/>
      <c r="L150" s="197"/>
      <c r="M150" s="197"/>
      <c r="N150" s="197"/>
      <c r="O150" s="197"/>
      <c r="P150" s="197"/>
      <c r="Q150" s="197"/>
      <c r="R150" s="197"/>
      <c r="S150" s="113"/>
      <c r="T150" s="113"/>
    </row>
    <row r="151" spans="1:20" s="190" customFormat="1" x14ac:dyDescent="0.25">
      <c r="B151" s="116"/>
      <c r="C151" s="115" t="s">
        <v>116</v>
      </c>
      <c r="D151" s="123"/>
      <c r="E151" s="123"/>
      <c r="F151" s="123"/>
      <c r="G151" s="123"/>
      <c r="H151" s="123"/>
      <c r="I151" s="197"/>
      <c r="J151" s="197"/>
      <c r="K151" s="197"/>
      <c r="L151" s="197"/>
      <c r="M151" s="197"/>
      <c r="N151" s="197"/>
      <c r="O151" s="197"/>
      <c r="P151" s="197"/>
      <c r="Q151" s="197"/>
      <c r="R151" s="197"/>
      <c r="S151" s="113"/>
      <c r="T151" s="113"/>
    </row>
    <row r="152" spans="1:20" s="190" customFormat="1" x14ac:dyDescent="0.25">
      <c r="B152" s="116" t="s">
        <v>117</v>
      </c>
      <c r="C152" s="120" t="s">
        <v>118</v>
      </c>
      <c r="D152" s="121"/>
      <c r="E152" s="121"/>
      <c r="F152" s="121"/>
      <c r="G152" s="122"/>
      <c r="H152" s="122" t="s">
        <v>106</v>
      </c>
      <c r="I152" s="72"/>
      <c r="J152" s="72"/>
      <c r="K152" s="72"/>
      <c r="L152" s="72"/>
      <c r="M152" s="72"/>
      <c r="N152" s="72"/>
      <c r="O152" s="72"/>
      <c r="P152" s="72"/>
      <c r="Q152" s="72"/>
      <c r="R152" s="72"/>
      <c r="S152" s="113"/>
      <c r="T152" s="113"/>
    </row>
    <row r="153" spans="1:20" s="190" customFormat="1" x14ac:dyDescent="0.25">
      <c r="B153" s="128"/>
      <c r="C153" s="129"/>
      <c r="D153" s="129"/>
      <c r="E153" s="129"/>
      <c r="F153" s="129"/>
      <c r="G153" s="129"/>
      <c r="H153" s="129"/>
      <c r="I153" s="199"/>
      <c r="J153" s="199"/>
      <c r="K153" s="199"/>
      <c r="L153" s="199"/>
      <c r="M153" s="199"/>
      <c r="N153" s="199"/>
      <c r="O153" s="199"/>
      <c r="P153" s="199"/>
      <c r="Q153" s="199"/>
      <c r="R153" s="199"/>
      <c r="S153" s="113"/>
      <c r="T153" s="113"/>
    </row>
    <row r="154" spans="1:20" s="190" customFormat="1" ht="21" x14ac:dyDescent="0.25">
      <c r="B154" s="317"/>
      <c r="C154" s="457" t="s">
        <v>119</v>
      </c>
      <c r="D154" s="457"/>
      <c r="E154" s="314"/>
      <c r="F154" s="318"/>
      <c r="G154" s="318"/>
      <c r="H154" s="319"/>
      <c r="I154" s="320"/>
      <c r="J154" s="320"/>
      <c r="K154" s="320"/>
      <c r="L154" s="321"/>
      <c r="M154" s="321"/>
      <c r="N154" s="321"/>
      <c r="O154" s="321"/>
      <c r="P154" s="321"/>
      <c r="Q154" s="321"/>
      <c r="R154" s="321"/>
      <c r="S154" s="322"/>
      <c r="T154" s="322"/>
    </row>
    <row r="155" spans="1:20" s="134" customFormat="1" ht="18.75" x14ac:dyDescent="0.3">
      <c r="A155" s="202"/>
      <c r="C155" s="135" t="s">
        <v>120</v>
      </c>
      <c r="D155" s="136"/>
      <c r="E155" s="137"/>
      <c r="F155" s="137"/>
      <c r="G155" s="137"/>
      <c r="H155" s="137"/>
      <c r="I155" s="254">
        <f>IF(I233="","",SUMPRODUCT(($I$233:$XFD$233&lt;I233)*($I$233:$XFD$233&lt;&gt;""))+SUMPRODUCT(($I$233:I233=I233)*1))</f>
        <v>1</v>
      </c>
      <c r="J155" s="254" t="str">
        <f>IF(J233="","",SUMPRODUCT(($I$233:$XFD$233&lt;J233)*($I$233:$XFD$233&lt;&gt;""))+SUMPRODUCT(($I$233:J233=J233)*1))</f>
        <v/>
      </c>
      <c r="K155" s="254" t="str">
        <f>IF(K233="","",SUMPRODUCT(($I$233:$XFD$233&lt;K233)*($I$233:$XFD$233&lt;&gt;""))+SUMPRODUCT(($I$233:K233=K233)*1))</f>
        <v/>
      </c>
      <c r="L155" s="254" t="str">
        <f>IF(L233="","",SUMPRODUCT(($I$233:$XFD$233&lt;L233)*($I$233:$XFD$233&lt;&gt;""))+SUMPRODUCT(($I$233:L233=L233)*1))</f>
        <v/>
      </c>
      <c r="M155" s="254" t="str">
        <f>IF(M233="","",SUMPRODUCT(($I$233:$XFD$233&lt;M233)*($I$233:$XFD$233&lt;&gt;""))+SUMPRODUCT(($I$233:M233=M233)*1))</f>
        <v/>
      </c>
      <c r="N155" s="254" t="str">
        <f>IF(N233="","",SUMPRODUCT(($I$233:$XFD$233&lt;N233)*($I$233:$XFD$233&lt;&gt;""))+SUMPRODUCT(($I$233:N233=N233)*1))</f>
        <v/>
      </c>
      <c r="O155" s="254" t="str">
        <f>IF(O233="","",SUMPRODUCT(($I$233:$XFD$233&lt;O233)*($I$233:$XFD$233&lt;&gt;""))+SUMPRODUCT(($I$233:O233=O233)*1))</f>
        <v/>
      </c>
      <c r="P155" s="254" t="str">
        <f>IF(P233="","",SUMPRODUCT(($I$233:$XFD$233&lt;P233)*($I$233:$XFD$233&lt;&gt;""))+SUMPRODUCT(($I$233:P233=P233)*1))</f>
        <v/>
      </c>
      <c r="Q155" s="254" t="str">
        <f>IF(Q233="","",SUMPRODUCT(($I$233:$XFD$233&lt;Q233)*($I$233:$XFD$233&lt;&gt;""))+SUMPRODUCT(($I$233:Q233=Q233)*1))</f>
        <v/>
      </c>
      <c r="R155" s="254" t="str">
        <f>IF(R233="","",SUMPRODUCT(($I$233:$XFD$233&lt;R233)*($I$233:$XFD$233&lt;&gt;""))+SUMPRODUCT(($I$233:R233=R233)*1))</f>
        <v/>
      </c>
      <c r="S155" s="113"/>
      <c r="T155" s="113"/>
    </row>
    <row r="156" spans="1:20" s="190" customFormat="1" x14ac:dyDescent="0.25">
      <c r="B156" s="138"/>
      <c r="C156" s="442"/>
      <c r="D156" s="442"/>
      <c r="E156" s="442"/>
      <c r="F156" s="442"/>
      <c r="G156" s="442"/>
      <c r="H156" s="139"/>
      <c r="I156" s="255" t="str">
        <f>I167</f>
        <v>Byggnadstyp 1</v>
      </c>
      <c r="J156" s="255" t="str">
        <f t="shared" ref="J156:R156" si="11">J167</f>
        <v>Byggnadstyp 2</v>
      </c>
      <c r="K156" s="255" t="str">
        <f t="shared" si="11"/>
        <v>Byggnadstyp 3</v>
      </c>
      <c r="L156" s="255" t="str">
        <f t="shared" si="11"/>
        <v>Byggnadstyp 4</v>
      </c>
      <c r="M156" s="255" t="str">
        <f t="shared" si="11"/>
        <v>Byggnadstyp 5</v>
      </c>
      <c r="N156" s="255" t="str">
        <f t="shared" si="11"/>
        <v>Byggnadstyp 6</v>
      </c>
      <c r="O156" s="255" t="str">
        <f t="shared" si="11"/>
        <v>Byggnadstyp 7</v>
      </c>
      <c r="P156" s="255" t="str">
        <f t="shared" si="11"/>
        <v>Byggnadstyp 8</v>
      </c>
      <c r="Q156" s="255" t="str">
        <f t="shared" si="11"/>
        <v>Byggnadstyp 9</v>
      </c>
      <c r="R156" s="255" t="str">
        <f t="shared" si="11"/>
        <v>Byggnadstyp 10</v>
      </c>
      <c r="S156" s="113"/>
      <c r="T156" s="113"/>
    </row>
    <row r="157" spans="1:20" s="190" customFormat="1" x14ac:dyDescent="0.25">
      <c r="B157" s="140" t="s">
        <v>121</v>
      </c>
      <c r="C157" s="141" t="s">
        <v>122</v>
      </c>
      <c r="D157" s="141"/>
      <c r="E157" s="141"/>
      <c r="F157" s="141"/>
      <c r="G157" s="141"/>
      <c r="H157" s="142" t="s">
        <v>123</v>
      </c>
      <c r="I157" s="256">
        <f t="shared" ref="I157:N157" si="12">I180+I199*$I$201+I215*$I$217</f>
        <v>0</v>
      </c>
      <c r="J157" s="256">
        <f t="shared" si="12"/>
        <v>0</v>
      </c>
      <c r="K157" s="256">
        <f t="shared" si="12"/>
        <v>0</v>
      </c>
      <c r="L157" s="256">
        <f t="shared" si="12"/>
        <v>0</v>
      </c>
      <c r="M157" s="256">
        <f t="shared" si="12"/>
        <v>0</v>
      </c>
      <c r="N157" s="256">
        <f t="shared" si="12"/>
        <v>0</v>
      </c>
      <c r="O157" s="256">
        <f t="shared" ref="O157:R157" si="13">O180+O199*$I$201+O215*$I$217</f>
        <v>0</v>
      </c>
      <c r="P157" s="256">
        <f t="shared" si="13"/>
        <v>0</v>
      </c>
      <c r="Q157" s="256">
        <f t="shared" si="13"/>
        <v>0</v>
      </c>
      <c r="R157" s="256">
        <f t="shared" si="13"/>
        <v>0</v>
      </c>
      <c r="S157" s="113"/>
      <c r="T157" s="113"/>
    </row>
    <row r="158" spans="1:20" s="190" customFormat="1" x14ac:dyDescent="0.25">
      <c r="B158" s="140" t="s">
        <v>124</v>
      </c>
      <c r="C158" s="141" t="s">
        <v>125</v>
      </c>
      <c r="D158" s="141"/>
      <c r="E158" s="141"/>
      <c r="F158" s="141"/>
      <c r="G158" s="141"/>
      <c r="H158" s="142" t="s">
        <v>126</v>
      </c>
      <c r="I158" s="256">
        <f>I221</f>
        <v>0</v>
      </c>
      <c r="J158" s="256">
        <f>J221</f>
        <v>0</v>
      </c>
      <c r="K158" s="256">
        <f t="shared" ref="K158:R158" si="14">K221</f>
        <v>0</v>
      </c>
      <c r="L158" s="256">
        <f t="shared" si="14"/>
        <v>0</v>
      </c>
      <c r="M158" s="256">
        <f t="shared" si="14"/>
        <v>0</v>
      </c>
      <c r="N158" s="256">
        <f t="shared" si="14"/>
        <v>0</v>
      </c>
      <c r="O158" s="256">
        <f t="shared" si="14"/>
        <v>0</v>
      </c>
      <c r="P158" s="256">
        <f t="shared" si="14"/>
        <v>0</v>
      </c>
      <c r="Q158" s="256">
        <f t="shared" si="14"/>
        <v>0</v>
      </c>
      <c r="R158" s="256">
        <f t="shared" si="14"/>
        <v>0</v>
      </c>
      <c r="S158" s="113"/>
      <c r="T158" s="113"/>
    </row>
    <row r="159" spans="1:20" s="190" customFormat="1" ht="18.75" x14ac:dyDescent="0.25">
      <c r="B159" s="128"/>
      <c r="C159" s="143" t="s">
        <v>127</v>
      </c>
      <c r="D159" s="144"/>
      <c r="E159" s="144"/>
      <c r="F159" s="144"/>
      <c r="G159" s="144"/>
      <c r="H159" s="142"/>
      <c r="I159" s="257"/>
      <c r="J159" s="257"/>
      <c r="K159" s="257"/>
      <c r="L159" s="257"/>
      <c r="M159" s="257"/>
      <c r="N159" s="257"/>
      <c r="O159" s="257"/>
      <c r="P159" s="257"/>
      <c r="Q159" s="257"/>
      <c r="R159" s="257"/>
      <c r="S159" s="113"/>
      <c r="T159" s="113"/>
    </row>
    <row r="160" spans="1:20" s="190" customFormat="1" x14ac:dyDescent="0.25">
      <c r="B160" s="128" t="s">
        <v>128</v>
      </c>
      <c r="C160" s="443" t="s">
        <v>129</v>
      </c>
      <c r="D160" s="443"/>
      <c r="E160" s="443"/>
      <c r="F160" s="443"/>
      <c r="G160" s="443"/>
      <c r="H160" s="142" t="s">
        <v>123</v>
      </c>
      <c r="I160" s="257">
        <f>I181+I202+I218</f>
        <v>0</v>
      </c>
      <c r="J160" s="257"/>
      <c r="K160" s="257"/>
      <c r="L160" s="257"/>
      <c r="M160" s="257"/>
      <c r="N160" s="257"/>
      <c r="O160" s="257"/>
      <c r="P160" s="257"/>
      <c r="Q160" s="257"/>
      <c r="R160" s="257"/>
      <c r="S160" s="113"/>
      <c r="T160" s="113"/>
    </row>
    <row r="161" spans="2:20" s="190" customFormat="1" x14ac:dyDescent="0.25">
      <c r="B161" s="128" t="s">
        <v>130</v>
      </c>
      <c r="C161" s="145" t="s">
        <v>131</v>
      </c>
      <c r="D161" s="144"/>
      <c r="E161" s="144"/>
      <c r="F161" s="144"/>
      <c r="G161" s="144"/>
      <c r="H161" s="142" t="s">
        <v>123</v>
      </c>
      <c r="I161" s="257">
        <f>I200</f>
        <v>0</v>
      </c>
      <c r="J161" s="257"/>
      <c r="K161" s="257"/>
      <c r="L161" s="257"/>
      <c r="M161" s="257"/>
      <c r="N161" s="257"/>
      <c r="O161" s="257"/>
      <c r="P161" s="257"/>
      <c r="Q161" s="257"/>
      <c r="R161" s="257"/>
      <c r="S161" s="113"/>
      <c r="T161" s="113"/>
    </row>
    <row r="162" spans="2:20" s="190" customFormat="1" x14ac:dyDescent="0.25">
      <c r="B162" s="128" t="s">
        <v>132</v>
      </c>
      <c r="C162" s="145" t="s">
        <v>133</v>
      </c>
      <c r="D162" s="144"/>
      <c r="E162" s="144"/>
      <c r="F162" s="144"/>
      <c r="G162" s="144"/>
      <c r="H162" s="142" t="s">
        <v>123</v>
      </c>
      <c r="I162" s="257">
        <f>I202</f>
        <v>0</v>
      </c>
      <c r="J162" s="257"/>
      <c r="K162" s="257"/>
      <c r="L162" s="257"/>
      <c r="M162" s="257"/>
      <c r="N162" s="257"/>
      <c r="O162" s="257"/>
      <c r="P162" s="257"/>
      <c r="Q162" s="257"/>
      <c r="R162" s="257"/>
      <c r="S162" s="113"/>
      <c r="T162" s="113"/>
    </row>
    <row r="163" spans="2:20" s="190" customFormat="1" x14ac:dyDescent="0.25">
      <c r="B163" s="128" t="s">
        <v>134</v>
      </c>
      <c r="C163" s="443" t="s">
        <v>135</v>
      </c>
      <c r="D163" s="443"/>
      <c r="E163" s="443"/>
      <c r="F163" s="443"/>
      <c r="G163" s="443"/>
      <c r="H163" s="142" t="s">
        <v>136</v>
      </c>
      <c r="I163" s="257">
        <f>SUM(I220:XFD220)</f>
        <v>0</v>
      </c>
      <c r="J163" s="257"/>
      <c r="K163" s="257"/>
      <c r="L163" s="257"/>
      <c r="M163" s="257"/>
      <c r="N163" s="257"/>
      <c r="O163" s="257"/>
      <c r="P163" s="257"/>
      <c r="Q163" s="257"/>
      <c r="R163" s="257"/>
      <c r="S163" s="113"/>
      <c r="T163" s="113"/>
    </row>
    <row r="164" spans="2:20" s="190" customFormat="1" x14ac:dyDescent="0.25">
      <c r="B164" s="128"/>
      <c r="C164" s="144"/>
      <c r="D164" s="144"/>
      <c r="E164" s="144"/>
      <c r="F164" s="144"/>
      <c r="G164" s="144"/>
      <c r="H164" s="142"/>
      <c r="I164" s="257"/>
      <c r="J164" s="257"/>
      <c r="K164" s="257"/>
      <c r="L164" s="257"/>
      <c r="M164" s="257"/>
      <c r="N164" s="257"/>
      <c r="O164" s="257"/>
      <c r="P164" s="257"/>
      <c r="Q164" s="257"/>
      <c r="R164" s="257"/>
      <c r="S164" s="113"/>
      <c r="T164" s="113"/>
    </row>
    <row r="165" spans="2:20" s="190" customFormat="1" x14ac:dyDescent="0.25">
      <c r="B165" s="138"/>
      <c r="C165" s="442"/>
      <c r="D165" s="442"/>
      <c r="E165" s="442"/>
      <c r="F165" s="442"/>
      <c r="G165" s="442"/>
      <c r="H165" s="139"/>
      <c r="I165" s="258"/>
      <c r="J165" s="199"/>
      <c r="K165" s="199"/>
      <c r="L165" s="199"/>
      <c r="M165" s="199"/>
      <c r="N165" s="199"/>
      <c r="O165" s="199"/>
      <c r="P165" s="199"/>
      <c r="Q165" s="199"/>
      <c r="R165" s="199"/>
      <c r="S165" s="113"/>
      <c r="T165" s="113"/>
    </row>
    <row r="166" spans="2:20" s="202" customFormat="1" ht="18.75" x14ac:dyDescent="0.3">
      <c r="B166" s="323"/>
      <c r="C166" s="324" t="s">
        <v>137</v>
      </c>
      <c r="D166" s="323"/>
      <c r="E166" s="325"/>
      <c r="F166" s="323"/>
      <c r="G166" s="323"/>
      <c r="H166" s="323"/>
      <c r="I166" s="326"/>
      <c r="J166" s="326"/>
      <c r="K166" s="326"/>
      <c r="L166" s="326"/>
      <c r="M166" s="326"/>
      <c r="N166" s="326"/>
      <c r="O166" s="326"/>
      <c r="P166" s="326"/>
      <c r="Q166" s="326"/>
      <c r="R166" s="326"/>
      <c r="S166" s="323"/>
      <c r="T166" s="323"/>
    </row>
    <row r="167" spans="2:20" s="209" customFormat="1" ht="21" x14ac:dyDescent="0.35">
      <c r="B167" s="149"/>
      <c r="C167" s="441"/>
      <c r="D167" s="441"/>
      <c r="E167" s="441"/>
      <c r="F167" s="441"/>
      <c r="G167" s="441"/>
      <c r="H167" s="151"/>
      <c r="I167" s="262" t="str">
        <f t="shared" ref="I167:N167" si="15">I25</f>
        <v>Byggnadstyp 1</v>
      </c>
      <c r="J167" s="262" t="str">
        <f t="shared" si="15"/>
        <v>Byggnadstyp 2</v>
      </c>
      <c r="K167" s="262" t="str">
        <f t="shared" si="15"/>
        <v>Byggnadstyp 3</v>
      </c>
      <c r="L167" s="263" t="str">
        <f t="shared" si="15"/>
        <v>Byggnadstyp 4</v>
      </c>
      <c r="M167" s="263" t="str">
        <f t="shared" si="15"/>
        <v>Byggnadstyp 5</v>
      </c>
      <c r="N167" s="263" t="str">
        <f t="shared" si="15"/>
        <v>Byggnadstyp 6</v>
      </c>
      <c r="O167" s="263" t="str">
        <f t="shared" ref="O167:R167" si="16">O25</f>
        <v>Byggnadstyp 7</v>
      </c>
      <c r="P167" s="263" t="str">
        <f t="shared" si="16"/>
        <v>Byggnadstyp 8</v>
      </c>
      <c r="Q167" s="263" t="str">
        <f t="shared" si="16"/>
        <v>Byggnadstyp 9</v>
      </c>
      <c r="R167" s="263" t="str">
        <f t="shared" si="16"/>
        <v>Byggnadstyp 10</v>
      </c>
      <c r="S167" s="113"/>
      <c r="T167" s="113"/>
    </row>
    <row r="168" spans="2:20" ht="12.75" x14ac:dyDescent="0.2">
      <c r="B168" s="327"/>
      <c r="C168" s="458" t="s">
        <v>138</v>
      </c>
      <c r="D168" s="458"/>
      <c r="E168" s="458"/>
      <c r="F168" s="458"/>
      <c r="G168" s="458"/>
      <c r="H168" s="327"/>
      <c r="I168" s="328"/>
      <c r="J168" s="328"/>
      <c r="K168" s="328"/>
      <c r="L168" s="329"/>
      <c r="M168" s="329"/>
      <c r="N168" s="329"/>
      <c r="O168" s="329"/>
      <c r="P168" s="329"/>
      <c r="Q168" s="329"/>
      <c r="R168" s="329"/>
      <c r="S168" s="330"/>
      <c r="T168" s="330"/>
    </row>
    <row r="169" spans="2:20" x14ac:dyDescent="0.25">
      <c r="B169" s="153"/>
      <c r="C169" s="439" t="s">
        <v>139</v>
      </c>
      <c r="D169" s="439"/>
      <c r="E169" s="439"/>
      <c r="F169" s="439"/>
      <c r="G169" s="439"/>
      <c r="H169" s="151"/>
      <c r="I169" s="268"/>
      <c r="J169" s="268"/>
      <c r="K169" s="268"/>
      <c r="L169" s="268"/>
      <c r="M169" s="268"/>
      <c r="N169" s="268"/>
      <c r="O169" s="268"/>
      <c r="P169" s="268"/>
      <c r="Q169" s="268"/>
      <c r="R169" s="268"/>
      <c r="S169" s="113"/>
      <c r="T169" s="113"/>
    </row>
    <row r="170" spans="2:20" x14ac:dyDescent="0.25">
      <c r="B170" s="153"/>
      <c r="C170" s="424" t="s">
        <v>140</v>
      </c>
      <c r="D170" s="424"/>
      <c r="E170" s="424"/>
      <c r="F170" s="424"/>
      <c r="G170" s="424"/>
      <c r="H170" s="149" t="s">
        <v>123</v>
      </c>
      <c r="I170" s="269">
        <f>I$28*(I32*(I33+I34))</f>
        <v>0</v>
      </c>
      <c r="J170" s="269">
        <f>J$28*(J32*(J33+J34))</f>
        <v>0</v>
      </c>
      <c r="K170" s="269">
        <f t="shared" ref="K170:R170" si="17">K$28*(K32*(K33+K34))</f>
        <v>0</v>
      </c>
      <c r="L170" s="269">
        <f t="shared" si="17"/>
        <v>0</v>
      </c>
      <c r="M170" s="269">
        <f t="shared" si="17"/>
        <v>0</v>
      </c>
      <c r="N170" s="269">
        <f t="shared" si="17"/>
        <v>0</v>
      </c>
      <c r="O170" s="269">
        <f t="shared" si="17"/>
        <v>0</v>
      </c>
      <c r="P170" s="269">
        <f t="shared" si="17"/>
        <v>0</v>
      </c>
      <c r="Q170" s="269">
        <f t="shared" si="17"/>
        <v>0</v>
      </c>
      <c r="R170" s="269">
        <f t="shared" si="17"/>
        <v>0</v>
      </c>
      <c r="S170" s="113"/>
      <c r="T170" s="113"/>
    </row>
    <row r="171" spans="2:20" x14ac:dyDescent="0.25">
      <c r="B171" s="153"/>
      <c r="C171" s="424" t="s">
        <v>141</v>
      </c>
      <c r="D171" s="424"/>
      <c r="E171" s="424"/>
      <c r="F171" s="424"/>
      <c r="G171" s="424"/>
      <c r="H171" s="149" t="s">
        <v>123</v>
      </c>
      <c r="I171" s="269">
        <f>I$28*(I44*(I45+I46))</f>
        <v>0</v>
      </c>
      <c r="J171" s="269">
        <f>J$28*(J44*(J45+J46))</f>
        <v>0</v>
      </c>
      <c r="K171" s="269">
        <f t="shared" ref="K171:R171" si="18">K$28*(K44*(K45+K46))</f>
        <v>0</v>
      </c>
      <c r="L171" s="269">
        <f t="shared" si="18"/>
        <v>0</v>
      </c>
      <c r="M171" s="269">
        <f t="shared" si="18"/>
        <v>0</v>
      </c>
      <c r="N171" s="269">
        <f t="shared" si="18"/>
        <v>0</v>
      </c>
      <c r="O171" s="269">
        <f t="shared" si="18"/>
        <v>0</v>
      </c>
      <c r="P171" s="269">
        <f t="shared" si="18"/>
        <v>0</v>
      </c>
      <c r="Q171" s="269">
        <f t="shared" si="18"/>
        <v>0</v>
      </c>
      <c r="R171" s="269">
        <f t="shared" si="18"/>
        <v>0</v>
      </c>
      <c r="S171" s="113"/>
      <c r="T171" s="113"/>
    </row>
    <row r="172" spans="2:20" x14ac:dyDescent="0.25">
      <c r="B172" s="153"/>
      <c r="C172" s="424" t="s">
        <v>142</v>
      </c>
      <c r="D172" s="424"/>
      <c r="E172" s="424"/>
      <c r="F172" s="424"/>
      <c r="G172" s="424"/>
      <c r="H172" s="149" t="s">
        <v>123</v>
      </c>
      <c r="I172" s="269">
        <f>I$28*(I56*(I57+I58))</f>
        <v>0</v>
      </c>
      <c r="J172" s="269">
        <f>J$28*(J56*(J57+J58))</f>
        <v>0</v>
      </c>
      <c r="K172" s="269">
        <f t="shared" ref="K172:R172" si="19">K$28*(K56*(K57+K58))</f>
        <v>0</v>
      </c>
      <c r="L172" s="269">
        <f t="shared" si="19"/>
        <v>0</v>
      </c>
      <c r="M172" s="269">
        <f t="shared" si="19"/>
        <v>0</v>
      </c>
      <c r="N172" s="269">
        <f t="shared" si="19"/>
        <v>0</v>
      </c>
      <c r="O172" s="269">
        <f t="shared" si="19"/>
        <v>0</v>
      </c>
      <c r="P172" s="269">
        <f t="shared" si="19"/>
        <v>0</v>
      </c>
      <c r="Q172" s="269">
        <f t="shared" si="19"/>
        <v>0</v>
      </c>
      <c r="R172" s="269">
        <f t="shared" si="19"/>
        <v>0</v>
      </c>
      <c r="S172" s="113"/>
      <c r="T172" s="113"/>
    </row>
    <row r="173" spans="2:20" x14ac:dyDescent="0.25">
      <c r="B173" s="153"/>
      <c r="C173" s="424" t="s">
        <v>143</v>
      </c>
      <c r="D173" s="424"/>
      <c r="E173" s="424"/>
      <c r="F173" s="424"/>
      <c r="G173" s="424"/>
      <c r="H173" s="149" t="s">
        <v>123</v>
      </c>
      <c r="I173" s="269">
        <f>I$28*(I68*(I69+I70))</f>
        <v>0</v>
      </c>
      <c r="J173" s="269">
        <f>J$28*(J68*(J69+J70))</f>
        <v>0</v>
      </c>
      <c r="K173" s="269">
        <f t="shared" ref="K173:R173" si="20">K$28*(K68*(K69+K70))</f>
        <v>0</v>
      </c>
      <c r="L173" s="269">
        <f t="shared" si="20"/>
        <v>0</v>
      </c>
      <c r="M173" s="269">
        <f t="shared" si="20"/>
        <v>0</v>
      </c>
      <c r="N173" s="269">
        <f t="shared" si="20"/>
        <v>0</v>
      </c>
      <c r="O173" s="269">
        <f t="shared" si="20"/>
        <v>0</v>
      </c>
      <c r="P173" s="269">
        <f t="shared" si="20"/>
        <v>0</v>
      </c>
      <c r="Q173" s="269">
        <f t="shared" si="20"/>
        <v>0</v>
      </c>
      <c r="R173" s="269">
        <f t="shared" si="20"/>
        <v>0</v>
      </c>
      <c r="S173" s="113"/>
      <c r="T173" s="113"/>
    </row>
    <row r="174" spans="2:20" x14ac:dyDescent="0.25">
      <c r="B174" s="153"/>
      <c r="C174" s="424" t="s">
        <v>144</v>
      </c>
      <c r="D174" s="424"/>
      <c r="E174" s="424"/>
      <c r="F174" s="424"/>
      <c r="G174" s="424"/>
      <c r="H174" s="149" t="s">
        <v>123</v>
      </c>
      <c r="I174" s="269">
        <f>I$28*(I80*(I81+I82))</f>
        <v>0</v>
      </c>
      <c r="J174" s="269">
        <f>J$28*(J80*(J81+J82))</f>
        <v>0</v>
      </c>
      <c r="K174" s="269">
        <f t="shared" ref="K174:R174" si="21">K$28*(K80*(K81+K82))</f>
        <v>0</v>
      </c>
      <c r="L174" s="269">
        <f t="shared" si="21"/>
        <v>0</v>
      </c>
      <c r="M174" s="269">
        <f t="shared" si="21"/>
        <v>0</v>
      </c>
      <c r="N174" s="269">
        <f t="shared" si="21"/>
        <v>0</v>
      </c>
      <c r="O174" s="269">
        <f t="shared" si="21"/>
        <v>0</v>
      </c>
      <c r="P174" s="269">
        <f t="shared" si="21"/>
        <v>0</v>
      </c>
      <c r="Q174" s="269">
        <f t="shared" si="21"/>
        <v>0</v>
      </c>
      <c r="R174" s="269">
        <f t="shared" si="21"/>
        <v>0</v>
      </c>
      <c r="S174" s="113"/>
      <c r="T174" s="113"/>
    </row>
    <row r="175" spans="2:20" x14ac:dyDescent="0.25">
      <c r="B175" s="153"/>
      <c r="C175" s="424" t="s">
        <v>145</v>
      </c>
      <c r="D175" s="424"/>
      <c r="E175" s="424"/>
      <c r="F175" s="424"/>
      <c r="G175" s="424"/>
      <c r="H175" s="149" t="s">
        <v>123</v>
      </c>
      <c r="I175" s="269">
        <f>I$28*(I92*(I93+I94))</f>
        <v>0</v>
      </c>
      <c r="J175" s="269">
        <f>J$28*(J92*(J93+J94))</f>
        <v>0</v>
      </c>
      <c r="K175" s="269">
        <f t="shared" ref="K175:R175" si="22">K$28*(K92*(K93+K94))</f>
        <v>0</v>
      </c>
      <c r="L175" s="269">
        <f t="shared" si="22"/>
        <v>0</v>
      </c>
      <c r="M175" s="269">
        <f t="shared" si="22"/>
        <v>0</v>
      </c>
      <c r="N175" s="269">
        <f t="shared" si="22"/>
        <v>0</v>
      </c>
      <c r="O175" s="269">
        <f t="shared" si="22"/>
        <v>0</v>
      </c>
      <c r="P175" s="269">
        <f t="shared" si="22"/>
        <v>0</v>
      </c>
      <c r="Q175" s="269">
        <f t="shared" si="22"/>
        <v>0</v>
      </c>
      <c r="R175" s="269">
        <f t="shared" si="22"/>
        <v>0</v>
      </c>
      <c r="S175" s="113"/>
      <c r="T175" s="113"/>
    </row>
    <row r="176" spans="2:20" x14ac:dyDescent="0.25">
      <c r="B176" s="153"/>
      <c r="C176" s="424" t="s">
        <v>146</v>
      </c>
      <c r="D176" s="424"/>
      <c r="E176" s="424"/>
      <c r="F176" s="424"/>
      <c r="G176" s="424"/>
      <c r="H176" s="149" t="s">
        <v>123</v>
      </c>
      <c r="I176" s="269">
        <f>I$28*(I104*(I105+I106))</f>
        <v>0</v>
      </c>
      <c r="J176" s="269">
        <f>J$28*(J104*(J105+J106))</f>
        <v>0</v>
      </c>
      <c r="K176" s="269">
        <f t="shared" ref="K176:R176" si="23">K$28*(K104*(K105+K106))</f>
        <v>0</v>
      </c>
      <c r="L176" s="269">
        <f t="shared" si="23"/>
        <v>0</v>
      </c>
      <c r="M176" s="269">
        <f t="shared" si="23"/>
        <v>0</v>
      </c>
      <c r="N176" s="269">
        <f t="shared" si="23"/>
        <v>0</v>
      </c>
      <c r="O176" s="269">
        <f t="shared" si="23"/>
        <v>0</v>
      </c>
      <c r="P176" s="269">
        <f t="shared" si="23"/>
        <v>0</v>
      </c>
      <c r="Q176" s="269">
        <f t="shared" si="23"/>
        <v>0</v>
      </c>
      <c r="R176" s="269">
        <f t="shared" si="23"/>
        <v>0</v>
      </c>
      <c r="S176" s="113"/>
      <c r="T176" s="113"/>
    </row>
    <row r="177" spans="2:20" x14ac:dyDescent="0.25">
      <c r="B177" s="153"/>
      <c r="C177" s="424" t="s">
        <v>147</v>
      </c>
      <c r="D177" s="424"/>
      <c r="E177" s="424"/>
      <c r="F177" s="424"/>
      <c r="G177" s="424"/>
      <c r="H177" s="149" t="s">
        <v>123</v>
      </c>
      <c r="I177" s="269">
        <f>I$28*(I116*(I117+I118))</f>
        <v>0</v>
      </c>
      <c r="J177" s="269">
        <f>J$28*(J116*(J117+J118))</f>
        <v>0</v>
      </c>
      <c r="K177" s="269">
        <f t="shared" ref="K177:R177" si="24">K$28*(K116*(K117+K118))</f>
        <v>0</v>
      </c>
      <c r="L177" s="269">
        <f t="shared" si="24"/>
        <v>0</v>
      </c>
      <c r="M177" s="269">
        <f t="shared" si="24"/>
        <v>0</v>
      </c>
      <c r="N177" s="269">
        <f t="shared" si="24"/>
        <v>0</v>
      </c>
      <c r="O177" s="269">
        <f t="shared" si="24"/>
        <v>0</v>
      </c>
      <c r="P177" s="269">
        <f t="shared" si="24"/>
        <v>0</v>
      </c>
      <c r="Q177" s="269">
        <f t="shared" si="24"/>
        <v>0</v>
      </c>
      <c r="R177" s="269">
        <f t="shared" si="24"/>
        <v>0</v>
      </c>
      <c r="S177" s="113"/>
      <c r="T177" s="113"/>
    </row>
    <row r="178" spans="2:20" x14ac:dyDescent="0.25">
      <c r="B178" s="153"/>
      <c r="C178" s="424" t="s">
        <v>148</v>
      </c>
      <c r="D178" s="424"/>
      <c r="E178" s="424"/>
      <c r="F178" s="424"/>
      <c r="G178" s="424"/>
      <c r="H178" s="149" t="s">
        <v>123</v>
      </c>
      <c r="I178" s="269">
        <f>I$28*(I128*(I129+I130))</f>
        <v>0</v>
      </c>
      <c r="J178" s="269">
        <f>J$28*(J128*(J129+J130))</f>
        <v>0</v>
      </c>
      <c r="K178" s="269">
        <f t="shared" ref="K178:R178" si="25">K$28*(K128*(K129+K130))</f>
        <v>0</v>
      </c>
      <c r="L178" s="269">
        <f t="shared" si="25"/>
        <v>0</v>
      </c>
      <c r="M178" s="269">
        <f t="shared" si="25"/>
        <v>0</v>
      </c>
      <c r="N178" s="269">
        <f t="shared" si="25"/>
        <v>0</v>
      </c>
      <c r="O178" s="269">
        <f t="shared" si="25"/>
        <v>0</v>
      </c>
      <c r="P178" s="269">
        <f t="shared" si="25"/>
        <v>0</v>
      </c>
      <c r="Q178" s="269">
        <f t="shared" si="25"/>
        <v>0</v>
      </c>
      <c r="R178" s="269">
        <f t="shared" si="25"/>
        <v>0</v>
      </c>
      <c r="S178" s="113"/>
      <c r="T178" s="113"/>
    </row>
    <row r="179" spans="2:20" x14ac:dyDescent="0.25">
      <c r="B179" s="153"/>
      <c r="C179" s="424" t="s">
        <v>149</v>
      </c>
      <c r="D179" s="424"/>
      <c r="E179" s="424"/>
      <c r="F179" s="424"/>
      <c r="G179" s="424"/>
      <c r="H179" s="149" t="s">
        <v>123</v>
      </c>
      <c r="I179" s="269">
        <f>I$28*(I140*(I141+I142))</f>
        <v>0</v>
      </c>
      <c r="J179" s="269">
        <f>J$28*(J140*(J141+J142))</f>
        <v>0</v>
      </c>
      <c r="K179" s="269">
        <f t="shared" ref="K179:R179" si="26">K$28*(K140*(K141+K142))</f>
        <v>0</v>
      </c>
      <c r="L179" s="269">
        <f t="shared" si="26"/>
        <v>0</v>
      </c>
      <c r="M179" s="269">
        <f t="shared" si="26"/>
        <v>0</v>
      </c>
      <c r="N179" s="269">
        <f t="shared" si="26"/>
        <v>0</v>
      </c>
      <c r="O179" s="269">
        <f t="shared" si="26"/>
        <v>0</v>
      </c>
      <c r="P179" s="269">
        <f t="shared" si="26"/>
        <v>0</v>
      </c>
      <c r="Q179" s="269">
        <f t="shared" si="26"/>
        <v>0</v>
      </c>
      <c r="R179" s="269">
        <f t="shared" si="26"/>
        <v>0</v>
      </c>
      <c r="S179" s="113"/>
      <c r="T179" s="113"/>
    </row>
    <row r="180" spans="2:20" x14ac:dyDescent="0.25">
      <c r="B180" s="153"/>
      <c r="C180" s="155" t="s">
        <v>150</v>
      </c>
      <c r="D180" s="156"/>
      <c r="E180" s="156"/>
      <c r="F180" s="156"/>
      <c r="G180" s="156"/>
      <c r="H180" s="157" t="s">
        <v>123</v>
      </c>
      <c r="I180" s="270">
        <f>SUM(I170:I179)</f>
        <v>0</v>
      </c>
      <c r="J180" s="270">
        <f>SUM(J170:J179)</f>
        <v>0</v>
      </c>
      <c r="K180" s="270">
        <f t="shared" ref="K180:R180" si="27">SUM(K170:K179)</f>
        <v>0</v>
      </c>
      <c r="L180" s="270">
        <f t="shared" si="27"/>
        <v>0</v>
      </c>
      <c r="M180" s="270">
        <f t="shared" si="27"/>
        <v>0</v>
      </c>
      <c r="N180" s="270">
        <f t="shared" si="27"/>
        <v>0</v>
      </c>
      <c r="O180" s="270">
        <f t="shared" si="27"/>
        <v>0</v>
      </c>
      <c r="P180" s="270">
        <f t="shared" si="27"/>
        <v>0</v>
      </c>
      <c r="Q180" s="270">
        <f t="shared" si="27"/>
        <v>0</v>
      </c>
      <c r="R180" s="270">
        <f t="shared" si="27"/>
        <v>0</v>
      </c>
      <c r="S180" s="113"/>
      <c r="T180" s="113"/>
    </row>
    <row r="181" spans="2:20" ht="12.75" x14ac:dyDescent="0.2">
      <c r="B181" s="331"/>
      <c r="C181" s="456" t="s">
        <v>151</v>
      </c>
      <c r="D181" s="456"/>
      <c r="E181" s="456"/>
      <c r="F181" s="456"/>
      <c r="G181" s="456"/>
      <c r="H181" s="331" t="s">
        <v>123</v>
      </c>
      <c r="I181" s="332">
        <f>SUM(I180:XFD180)</f>
        <v>0</v>
      </c>
      <c r="J181" s="332"/>
      <c r="K181" s="332"/>
      <c r="L181" s="332"/>
      <c r="M181" s="332"/>
      <c r="N181" s="332"/>
      <c r="O181" s="332"/>
      <c r="P181" s="332"/>
      <c r="Q181" s="332"/>
      <c r="R181" s="332"/>
      <c r="S181" s="333"/>
      <c r="T181" s="333"/>
    </row>
    <row r="182" spans="2:20" ht="12.75" x14ac:dyDescent="0.2">
      <c r="B182" s="159"/>
      <c r="C182" s="446"/>
      <c r="D182" s="446"/>
      <c r="E182" s="446"/>
      <c r="F182" s="446"/>
      <c r="G182" s="446"/>
      <c r="H182" s="153"/>
      <c r="I182" s="274"/>
      <c r="J182" s="275"/>
      <c r="K182" s="275"/>
      <c r="L182" s="276"/>
      <c r="M182" s="276"/>
      <c r="N182" s="276"/>
      <c r="O182" s="276"/>
      <c r="P182" s="276"/>
      <c r="Q182" s="276"/>
      <c r="R182" s="276"/>
      <c r="S182" s="220"/>
      <c r="T182" s="220"/>
    </row>
    <row r="183" spans="2:20" ht="12.75" x14ac:dyDescent="0.2">
      <c r="B183" s="331"/>
      <c r="C183" s="456" t="s">
        <v>152</v>
      </c>
      <c r="D183" s="456"/>
      <c r="E183" s="456"/>
      <c r="F183" s="456"/>
      <c r="G183" s="456"/>
      <c r="H183" s="331"/>
      <c r="I183" s="334"/>
      <c r="J183" s="335"/>
      <c r="K183" s="335"/>
      <c r="L183" s="335"/>
      <c r="M183" s="335"/>
      <c r="N183" s="335"/>
      <c r="O183" s="335"/>
      <c r="P183" s="335"/>
      <c r="Q183" s="335"/>
      <c r="R183" s="335"/>
      <c r="S183" s="331"/>
      <c r="T183" s="331"/>
    </row>
    <row r="184" spans="2:20" x14ac:dyDescent="0.25">
      <c r="B184" s="159"/>
      <c r="C184" s="160" t="s">
        <v>153</v>
      </c>
      <c r="D184" s="155"/>
      <c r="E184" s="155"/>
      <c r="F184" s="155"/>
      <c r="G184" s="155"/>
      <c r="H184" s="153"/>
      <c r="I184" s="269"/>
      <c r="J184" s="279"/>
      <c r="K184" s="279"/>
      <c r="L184" s="279"/>
      <c r="M184" s="279"/>
      <c r="N184" s="279"/>
      <c r="O184" s="279"/>
      <c r="P184" s="279"/>
      <c r="Q184" s="279"/>
      <c r="R184" s="279"/>
      <c r="S184" s="113"/>
      <c r="T184" s="113"/>
    </row>
    <row r="185" spans="2:20" x14ac:dyDescent="0.25">
      <c r="B185" s="159"/>
      <c r="C185" s="448" t="s">
        <v>154</v>
      </c>
      <c r="D185" s="449"/>
      <c r="E185" s="449"/>
      <c r="F185" s="449"/>
      <c r="G185" s="449"/>
      <c r="H185" s="151"/>
      <c r="I185" s="280"/>
      <c r="J185" s="268"/>
      <c r="K185" s="268"/>
      <c r="L185" s="268"/>
      <c r="M185" s="268"/>
      <c r="N185" s="268"/>
      <c r="O185" s="268"/>
      <c r="P185" s="268"/>
      <c r="Q185" s="268"/>
      <c r="R185" s="268"/>
      <c r="S185" s="113"/>
      <c r="T185" s="113"/>
    </row>
    <row r="186" spans="2:20" x14ac:dyDescent="0.25">
      <c r="B186" s="159"/>
      <c r="C186" s="447" t="s">
        <v>140</v>
      </c>
      <c r="D186" s="427"/>
      <c r="E186" s="427"/>
      <c r="F186" s="427"/>
      <c r="G186" s="427"/>
      <c r="H186" s="159" t="s">
        <v>155</v>
      </c>
      <c r="I186" s="281">
        <f>(I$28*I32*I35*I40*$H$20)/1000</f>
        <v>0</v>
      </c>
      <c r="J186" s="281">
        <f>(J$28*J32*J35*J40*$H$20)/1000</f>
        <v>0</v>
      </c>
      <c r="K186" s="281">
        <f t="shared" ref="K186:R186" si="28">(K$28*K32*K35*K40*$H$20)/1000</f>
        <v>0</v>
      </c>
      <c r="L186" s="281">
        <f t="shared" si="28"/>
        <v>0</v>
      </c>
      <c r="M186" s="281">
        <f t="shared" si="28"/>
        <v>0</v>
      </c>
      <c r="N186" s="281">
        <f t="shared" si="28"/>
        <v>0</v>
      </c>
      <c r="O186" s="281">
        <f t="shared" si="28"/>
        <v>0</v>
      </c>
      <c r="P186" s="281">
        <f t="shared" si="28"/>
        <v>0</v>
      </c>
      <c r="Q186" s="281">
        <f t="shared" si="28"/>
        <v>0</v>
      </c>
      <c r="R186" s="281">
        <f t="shared" si="28"/>
        <v>0</v>
      </c>
      <c r="S186" s="113"/>
      <c r="T186" s="113"/>
    </row>
    <row r="187" spans="2:20" x14ac:dyDescent="0.25">
      <c r="B187" s="159"/>
      <c r="C187" s="426" t="s">
        <v>141</v>
      </c>
      <c r="D187" s="427"/>
      <c r="E187" s="427"/>
      <c r="F187" s="427"/>
      <c r="G187" s="427"/>
      <c r="H187" s="164" t="s">
        <v>155</v>
      </c>
      <c r="I187" s="281">
        <f>(I$28*I44*I47*I52*$H$20)/1000</f>
        <v>0</v>
      </c>
      <c r="J187" s="281">
        <f>(J$28*J44*J47*J52*$H$20)/1000</f>
        <v>0</v>
      </c>
      <c r="K187" s="281">
        <f t="shared" ref="K187:R187" si="29">(K$28*K44*K47*K52*$H$20)/1000</f>
        <v>0</v>
      </c>
      <c r="L187" s="281">
        <f t="shared" si="29"/>
        <v>0</v>
      </c>
      <c r="M187" s="281">
        <f t="shared" si="29"/>
        <v>0</v>
      </c>
      <c r="N187" s="281">
        <f t="shared" si="29"/>
        <v>0</v>
      </c>
      <c r="O187" s="281">
        <f t="shared" si="29"/>
        <v>0</v>
      </c>
      <c r="P187" s="281">
        <f t="shared" si="29"/>
        <v>0</v>
      </c>
      <c r="Q187" s="281">
        <f t="shared" si="29"/>
        <v>0</v>
      </c>
      <c r="R187" s="281">
        <f t="shared" si="29"/>
        <v>0</v>
      </c>
      <c r="S187" s="113"/>
      <c r="T187" s="113"/>
    </row>
    <row r="188" spans="2:20" x14ac:dyDescent="0.25">
      <c r="B188" s="159"/>
      <c r="C188" s="426" t="s">
        <v>142</v>
      </c>
      <c r="D188" s="427"/>
      <c r="E188" s="427"/>
      <c r="F188" s="427"/>
      <c r="G188" s="427"/>
      <c r="H188" s="164" t="s">
        <v>155</v>
      </c>
      <c r="I188" s="281">
        <f>(I$28*I56*I59*I64*$H$20)/1000</f>
        <v>0</v>
      </c>
      <c r="J188" s="281">
        <f>(J$28*J56*J59*J64*$H$20)/1000</f>
        <v>0</v>
      </c>
      <c r="K188" s="281">
        <f t="shared" ref="K188:R188" si="30">(K$28*K56*K59*K64*$H$20)/1000</f>
        <v>0</v>
      </c>
      <c r="L188" s="281">
        <f t="shared" si="30"/>
        <v>0</v>
      </c>
      <c r="M188" s="281">
        <f t="shared" si="30"/>
        <v>0</v>
      </c>
      <c r="N188" s="281">
        <f t="shared" si="30"/>
        <v>0</v>
      </c>
      <c r="O188" s="281">
        <f t="shared" si="30"/>
        <v>0</v>
      </c>
      <c r="P188" s="281">
        <f t="shared" si="30"/>
        <v>0</v>
      </c>
      <c r="Q188" s="281">
        <f t="shared" si="30"/>
        <v>0</v>
      </c>
      <c r="R188" s="281">
        <f t="shared" si="30"/>
        <v>0</v>
      </c>
      <c r="S188" s="113"/>
      <c r="T188" s="113"/>
    </row>
    <row r="189" spans="2:20" x14ac:dyDescent="0.25">
      <c r="B189" s="159"/>
      <c r="C189" s="426" t="s">
        <v>143</v>
      </c>
      <c r="D189" s="427"/>
      <c r="E189" s="427"/>
      <c r="F189" s="427"/>
      <c r="G189" s="427"/>
      <c r="H189" s="164" t="s">
        <v>155</v>
      </c>
      <c r="I189" s="281">
        <f>(I$28*I68*I71*I76*$H$20)/1000</f>
        <v>0</v>
      </c>
      <c r="J189" s="281">
        <f>(J$28*J68*J71*J76*$H$20)/1000</f>
        <v>0</v>
      </c>
      <c r="K189" s="281">
        <f t="shared" ref="K189:R189" si="31">(K$28*K68*K71*K76*$H$20)/1000</f>
        <v>0</v>
      </c>
      <c r="L189" s="281">
        <f t="shared" si="31"/>
        <v>0</v>
      </c>
      <c r="M189" s="281">
        <f t="shared" si="31"/>
        <v>0</v>
      </c>
      <c r="N189" s="281">
        <f t="shared" si="31"/>
        <v>0</v>
      </c>
      <c r="O189" s="281">
        <f t="shared" si="31"/>
        <v>0</v>
      </c>
      <c r="P189" s="281">
        <f t="shared" si="31"/>
        <v>0</v>
      </c>
      <c r="Q189" s="281">
        <f t="shared" si="31"/>
        <v>0</v>
      </c>
      <c r="R189" s="281">
        <f t="shared" si="31"/>
        <v>0</v>
      </c>
      <c r="S189" s="113"/>
      <c r="T189" s="113"/>
    </row>
    <row r="190" spans="2:20" x14ac:dyDescent="0.25">
      <c r="B190" s="159"/>
      <c r="C190" s="426" t="s">
        <v>144</v>
      </c>
      <c r="D190" s="427"/>
      <c r="E190" s="427"/>
      <c r="F190" s="427"/>
      <c r="G190" s="427"/>
      <c r="H190" s="164" t="s">
        <v>155</v>
      </c>
      <c r="I190" s="281">
        <f>(I$28*I80*I83*I88*$H$20)/1000</f>
        <v>0</v>
      </c>
      <c r="J190" s="281">
        <f>(J$28*J80*J83*J88*$H$20)/1000</f>
        <v>0</v>
      </c>
      <c r="K190" s="281">
        <f t="shared" ref="K190:R190" si="32">(K$28*K80*K83*K88*$H$20)/1000</f>
        <v>0</v>
      </c>
      <c r="L190" s="281">
        <f t="shared" si="32"/>
        <v>0</v>
      </c>
      <c r="M190" s="281">
        <f t="shared" si="32"/>
        <v>0</v>
      </c>
      <c r="N190" s="281">
        <f t="shared" si="32"/>
        <v>0</v>
      </c>
      <c r="O190" s="281">
        <f t="shared" si="32"/>
        <v>0</v>
      </c>
      <c r="P190" s="281">
        <f t="shared" si="32"/>
        <v>0</v>
      </c>
      <c r="Q190" s="281">
        <f t="shared" si="32"/>
        <v>0</v>
      </c>
      <c r="R190" s="281">
        <f t="shared" si="32"/>
        <v>0</v>
      </c>
      <c r="S190" s="113"/>
      <c r="T190" s="113"/>
    </row>
    <row r="191" spans="2:20" x14ac:dyDescent="0.25">
      <c r="B191" s="159"/>
      <c r="C191" s="426" t="s">
        <v>145</v>
      </c>
      <c r="D191" s="427"/>
      <c r="E191" s="427"/>
      <c r="F191" s="427"/>
      <c r="G191" s="427"/>
      <c r="H191" s="164" t="s">
        <v>155</v>
      </c>
      <c r="I191" s="281">
        <f>(I$28*I92*I95*I100*$H$20)/1000</f>
        <v>0</v>
      </c>
      <c r="J191" s="281">
        <f>(J$28*J92*J95*J100*$H$20)/1000</f>
        <v>0</v>
      </c>
      <c r="K191" s="281">
        <f t="shared" ref="K191:R191" si="33">(K$28*K92*K95*K100*$H$20)/1000</f>
        <v>0</v>
      </c>
      <c r="L191" s="281">
        <f t="shared" si="33"/>
        <v>0</v>
      </c>
      <c r="M191" s="281">
        <f t="shared" si="33"/>
        <v>0</v>
      </c>
      <c r="N191" s="281">
        <f t="shared" si="33"/>
        <v>0</v>
      </c>
      <c r="O191" s="281">
        <f t="shared" si="33"/>
        <v>0</v>
      </c>
      <c r="P191" s="281">
        <f t="shared" si="33"/>
        <v>0</v>
      </c>
      <c r="Q191" s="281">
        <f t="shared" si="33"/>
        <v>0</v>
      </c>
      <c r="R191" s="281">
        <f t="shared" si="33"/>
        <v>0</v>
      </c>
      <c r="S191" s="113"/>
      <c r="T191" s="113"/>
    </row>
    <row r="192" spans="2:20" x14ac:dyDescent="0.25">
      <c r="B192" s="159"/>
      <c r="C192" s="426" t="s">
        <v>146</v>
      </c>
      <c r="D192" s="427"/>
      <c r="E192" s="427"/>
      <c r="F192" s="427"/>
      <c r="G192" s="427"/>
      <c r="H192" s="164" t="s">
        <v>155</v>
      </c>
      <c r="I192" s="281">
        <f>(I$28*I104*I107*I112*$H$20)/1000</f>
        <v>0</v>
      </c>
      <c r="J192" s="281">
        <f>(J$28*J104*J107*J112*$H$20)/1000</f>
        <v>0</v>
      </c>
      <c r="K192" s="281">
        <f t="shared" ref="K192:R192" si="34">(K$28*K104*K107*K112*$H$20)/1000</f>
        <v>0</v>
      </c>
      <c r="L192" s="281">
        <f t="shared" si="34"/>
        <v>0</v>
      </c>
      <c r="M192" s="281">
        <f t="shared" si="34"/>
        <v>0</v>
      </c>
      <c r="N192" s="281">
        <f t="shared" si="34"/>
        <v>0</v>
      </c>
      <c r="O192" s="281">
        <f t="shared" si="34"/>
        <v>0</v>
      </c>
      <c r="P192" s="281">
        <f t="shared" si="34"/>
        <v>0</v>
      </c>
      <c r="Q192" s="281">
        <f t="shared" si="34"/>
        <v>0</v>
      </c>
      <c r="R192" s="281">
        <f t="shared" si="34"/>
        <v>0</v>
      </c>
      <c r="S192" s="113"/>
      <c r="T192" s="113"/>
    </row>
    <row r="193" spans="2:20" x14ac:dyDescent="0.25">
      <c r="B193" s="159"/>
      <c r="C193" s="426" t="s">
        <v>147</v>
      </c>
      <c r="D193" s="427"/>
      <c r="E193" s="427"/>
      <c r="F193" s="427"/>
      <c r="G193" s="427"/>
      <c r="H193" s="164" t="s">
        <v>155</v>
      </c>
      <c r="I193" s="281">
        <f>(I$28*I116*I119*I124*$H$20)/1000</f>
        <v>0</v>
      </c>
      <c r="J193" s="281">
        <f>(J$28*J116*J119*J124*$H$20)/1000</f>
        <v>0</v>
      </c>
      <c r="K193" s="281">
        <f t="shared" ref="K193:R193" si="35">(K$28*K116*K119*K124*$H$20)/1000</f>
        <v>0</v>
      </c>
      <c r="L193" s="281">
        <f t="shared" si="35"/>
        <v>0</v>
      </c>
      <c r="M193" s="281">
        <f t="shared" si="35"/>
        <v>0</v>
      </c>
      <c r="N193" s="281">
        <f t="shared" si="35"/>
        <v>0</v>
      </c>
      <c r="O193" s="281">
        <f t="shared" si="35"/>
        <v>0</v>
      </c>
      <c r="P193" s="281">
        <f t="shared" si="35"/>
        <v>0</v>
      </c>
      <c r="Q193" s="281">
        <f t="shared" si="35"/>
        <v>0</v>
      </c>
      <c r="R193" s="281">
        <f t="shared" si="35"/>
        <v>0</v>
      </c>
      <c r="S193" s="113"/>
      <c r="T193" s="113"/>
    </row>
    <row r="194" spans="2:20" x14ac:dyDescent="0.25">
      <c r="B194" s="159"/>
      <c r="C194" s="426" t="s">
        <v>148</v>
      </c>
      <c r="D194" s="427"/>
      <c r="E194" s="427"/>
      <c r="F194" s="427"/>
      <c r="G194" s="427"/>
      <c r="H194" s="164" t="s">
        <v>155</v>
      </c>
      <c r="I194" s="281">
        <f>(I$28*I28*I131*I136*$H$20)/1000</f>
        <v>0</v>
      </c>
      <c r="J194" s="281">
        <f>(J$28*J28*J131*J136*$H$20)/1000</f>
        <v>0</v>
      </c>
      <c r="K194" s="281">
        <f t="shared" ref="K194:R194" si="36">(K$28*K28*K131*K136*$H$20)/1000</f>
        <v>0</v>
      </c>
      <c r="L194" s="281">
        <f t="shared" si="36"/>
        <v>0</v>
      </c>
      <c r="M194" s="281">
        <f t="shared" si="36"/>
        <v>0</v>
      </c>
      <c r="N194" s="281">
        <f t="shared" si="36"/>
        <v>0</v>
      </c>
      <c r="O194" s="281">
        <f t="shared" si="36"/>
        <v>0</v>
      </c>
      <c r="P194" s="281">
        <f t="shared" si="36"/>
        <v>0</v>
      </c>
      <c r="Q194" s="281">
        <f t="shared" si="36"/>
        <v>0</v>
      </c>
      <c r="R194" s="281">
        <f t="shared" si="36"/>
        <v>0</v>
      </c>
      <c r="S194" s="113"/>
      <c r="T194" s="113"/>
    </row>
    <row r="195" spans="2:20" x14ac:dyDescent="0.25">
      <c r="B195" s="159"/>
      <c r="C195" s="426" t="s">
        <v>149</v>
      </c>
      <c r="D195" s="427"/>
      <c r="E195" s="427"/>
      <c r="F195" s="427"/>
      <c r="G195" s="427"/>
      <c r="H195" s="164" t="s">
        <v>155</v>
      </c>
      <c r="I195" s="281">
        <f>(I$28*I140*I143*I148*$H$20)/1000</f>
        <v>0</v>
      </c>
      <c r="J195" s="281">
        <f>(J$28*J140*J143*J148*$H$20)/1000</f>
        <v>0</v>
      </c>
      <c r="K195" s="281">
        <f t="shared" ref="K195:R195" si="37">(K$28*K140*K143*K148*$H$20)/1000</f>
        <v>0</v>
      </c>
      <c r="L195" s="281">
        <f t="shared" si="37"/>
        <v>0</v>
      </c>
      <c r="M195" s="281">
        <f t="shared" si="37"/>
        <v>0</v>
      </c>
      <c r="N195" s="281">
        <f t="shared" si="37"/>
        <v>0</v>
      </c>
      <c r="O195" s="281">
        <f t="shared" si="37"/>
        <v>0</v>
      </c>
      <c r="P195" s="281">
        <f t="shared" si="37"/>
        <v>0</v>
      </c>
      <c r="Q195" s="281">
        <f t="shared" si="37"/>
        <v>0</v>
      </c>
      <c r="R195" s="281">
        <f t="shared" si="37"/>
        <v>0</v>
      </c>
      <c r="S195" s="113"/>
      <c r="T195" s="113"/>
    </row>
    <row r="196" spans="2:20" s="226" customFormat="1" x14ac:dyDescent="0.25">
      <c r="B196" s="165"/>
      <c r="C196" s="166" t="s">
        <v>156</v>
      </c>
      <c r="D196" s="167"/>
      <c r="E196" s="167"/>
      <c r="F196" s="167"/>
      <c r="G196" s="167"/>
      <c r="H196" s="168" t="s">
        <v>157</v>
      </c>
      <c r="I196" s="282">
        <f>SUM(I186:I195)</f>
        <v>0</v>
      </c>
      <c r="J196" s="282">
        <f>SUM(J186:J195)</f>
        <v>0</v>
      </c>
      <c r="K196" s="282">
        <f t="shared" ref="K196:R196" si="38">SUM(K186:K195)</f>
        <v>0</v>
      </c>
      <c r="L196" s="282">
        <f t="shared" si="38"/>
        <v>0</v>
      </c>
      <c r="M196" s="282">
        <f t="shared" si="38"/>
        <v>0</v>
      </c>
      <c r="N196" s="282">
        <f t="shared" si="38"/>
        <v>0</v>
      </c>
      <c r="O196" s="282">
        <f t="shared" si="38"/>
        <v>0</v>
      </c>
      <c r="P196" s="282">
        <f t="shared" si="38"/>
        <v>0</v>
      </c>
      <c r="Q196" s="282">
        <f t="shared" si="38"/>
        <v>0</v>
      </c>
      <c r="R196" s="282">
        <f t="shared" si="38"/>
        <v>0</v>
      </c>
      <c r="S196" s="113"/>
      <c r="T196" s="113"/>
    </row>
    <row r="197" spans="2:20" s="227" customFormat="1" x14ac:dyDescent="0.25">
      <c r="B197" s="169"/>
      <c r="C197" s="160" t="s">
        <v>158</v>
      </c>
      <c r="D197" s="155"/>
      <c r="E197" s="155"/>
      <c r="F197" s="155"/>
      <c r="G197" s="155"/>
      <c r="H197" s="153" t="s">
        <v>157</v>
      </c>
      <c r="I197" s="269">
        <f>SUM(I196:XFD196)</f>
        <v>0</v>
      </c>
      <c r="J197" s="269"/>
      <c r="K197" s="269"/>
      <c r="L197" s="269"/>
      <c r="M197" s="269"/>
      <c r="N197" s="269"/>
      <c r="O197" s="269"/>
      <c r="P197" s="269"/>
      <c r="Q197" s="269"/>
      <c r="R197" s="269"/>
      <c r="S197" s="113"/>
      <c r="T197" s="113"/>
    </row>
    <row r="198" spans="2:20" x14ac:dyDescent="0.25">
      <c r="B198" s="159"/>
      <c r="C198" s="170"/>
      <c r="D198" s="171"/>
      <c r="E198" s="171"/>
      <c r="F198" s="171"/>
      <c r="G198" s="171"/>
      <c r="H198" s="169"/>
      <c r="I198" s="283"/>
      <c r="J198" s="283"/>
      <c r="K198" s="283"/>
      <c r="L198" s="283"/>
      <c r="M198" s="283"/>
      <c r="N198" s="283"/>
      <c r="O198" s="283"/>
      <c r="P198" s="283"/>
      <c r="Q198" s="283"/>
      <c r="R198" s="283"/>
      <c r="S198" s="113"/>
      <c r="T198" s="113"/>
    </row>
    <row r="199" spans="2:20" x14ac:dyDescent="0.25">
      <c r="B199" s="159"/>
      <c r="C199" s="172" t="s">
        <v>159</v>
      </c>
      <c r="D199" s="173"/>
      <c r="E199" s="173"/>
      <c r="F199" s="173"/>
      <c r="G199" s="173"/>
      <c r="H199" s="174" t="s">
        <v>106</v>
      </c>
      <c r="I199" s="284">
        <f>$H$17*I196</f>
        <v>0</v>
      </c>
      <c r="J199" s="284">
        <f>$H$17*J196</f>
        <v>0</v>
      </c>
      <c r="K199" s="284">
        <f t="shared" ref="K199:R199" si="39">$H$17*K196</f>
        <v>0</v>
      </c>
      <c r="L199" s="284">
        <f t="shared" si="39"/>
        <v>0</v>
      </c>
      <c r="M199" s="284">
        <f t="shared" si="39"/>
        <v>0</v>
      </c>
      <c r="N199" s="284">
        <f t="shared" si="39"/>
        <v>0</v>
      </c>
      <c r="O199" s="284">
        <f t="shared" si="39"/>
        <v>0</v>
      </c>
      <c r="P199" s="284">
        <f t="shared" si="39"/>
        <v>0</v>
      </c>
      <c r="Q199" s="284">
        <f t="shared" si="39"/>
        <v>0</v>
      </c>
      <c r="R199" s="284">
        <f t="shared" si="39"/>
        <v>0</v>
      </c>
      <c r="S199" s="113"/>
      <c r="T199" s="113"/>
    </row>
    <row r="200" spans="2:20" x14ac:dyDescent="0.25">
      <c r="B200" s="159"/>
      <c r="C200" s="170" t="s">
        <v>160</v>
      </c>
      <c r="D200" s="171"/>
      <c r="E200" s="171"/>
      <c r="F200" s="171"/>
      <c r="G200" s="171"/>
      <c r="H200" s="169" t="s">
        <v>106</v>
      </c>
      <c r="I200" s="283">
        <f>$H$17*I197</f>
        <v>0</v>
      </c>
      <c r="J200" s="283"/>
      <c r="K200" s="283"/>
      <c r="L200" s="283"/>
      <c r="M200" s="283"/>
      <c r="N200" s="283"/>
      <c r="O200" s="283"/>
      <c r="P200" s="283"/>
      <c r="Q200" s="283"/>
      <c r="R200" s="283"/>
      <c r="S200" s="113"/>
      <c r="T200" s="113"/>
    </row>
    <row r="201" spans="2:20" x14ac:dyDescent="0.25">
      <c r="B201" s="159"/>
      <c r="C201" s="172" t="s">
        <v>161</v>
      </c>
      <c r="D201" s="173"/>
      <c r="E201" s="173"/>
      <c r="F201" s="173"/>
      <c r="G201" s="173"/>
      <c r="H201" s="174"/>
      <c r="I201" s="285">
        <f>IF($H$16=$H$18,$H$15,(1/($H$16-$H$18))*(1-((1+$H$18)/(1+$H$16))^$H$15))</f>
        <v>0</v>
      </c>
      <c r="J201" s="283"/>
      <c r="K201" s="283"/>
      <c r="L201" s="283"/>
      <c r="M201" s="283"/>
      <c r="N201" s="283"/>
      <c r="O201" s="283"/>
      <c r="P201" s="283"/>
      <c r="Q201" s="283"/>
      <c r="R201" s="283"/>
      <c r="S201" s="113"/>
      <c r="T201" s="113"/>
    </row>
    <row r="202" spans="2:20" x14ac:dyDescent="0.25">
      <c r="B202" s="159"/>
      <c r="C202" s="170" t="s">
        <v>133</v>
      </c>
      <c r="D202" s="171"/>
      <c r="E202" s="171"/>
      <c r="F202" s="171"/>
      <c r="G202" s="171"/>
      <c r="H202" s="169" t="s">
        <v>123</v>
      </c>
      <c r="I202" s="283">
        <f>I200*I201</f>
        <v>0</v>
      </c>
      <c r="J202" s="283"/>
      <c r="K202" s="283"/>
      <c r="L202" s="283"/>
      <c r="M202" s="283"/>
      <c r="N202" s="283"/>
      <c r="O202" s="283"/>
      <c r="P202" s="283"/>
      <c r="Q202" s="283"/>
      <c r="R202" s="283"/>
      <c r="S202" s="113"/>
      <c r="T202" s="113"/>
    </row>
    <row r="203" spans="2:20" x14ac:dyDescent="0.25">
      <c r="B203" s="159"/>
      <c r="C203" s="171"/>
      <c r="D203" s="171"/>
      <c r="E203" s="171"/>
      <c r="F203" s="171"/>
      <c r="G203" s="171"/>
      <c r="H203" s="169"/>
      <c r="I203" s="283"/>
      <c r="J203" s="283"/>
      <c r="K203" s="283"/>
      <c r="L203" s="283"/>
      <c r="M203" s="283"/>
      <c r="N203" s="283"/>
      <c r="O203" s="283"/>
      <c r="P203" s="283"/>
      <c r="Q203" s="283"/>
      <c r="R203" s="283"/>
      <c r="S203" s="113"/>
      <c r="T203" s="113"/>
    </row>
    <row r="204" spans="2:20" x14ac:dyDescent="0.25">
      <c r="B204" s="159"/>
      <c r="C204" s="172" t="s">
        <v>162</v>
      </c>
      <c r="D204" s="173"/>
      <c r="E204" s="173"/>
      <c r="F204" s="173"/>
      <c r="G204" s="173"/>
      <c r="H204" s="174"/>
      <c r="I204" s="284"/>
      <c r="J204" s="284"/>
      <c r="K204" s="284"/>
      <c r="L204" s="284"/>
      <c r="M204" s="284"/>
      <c r="N204" s="284"/>
      <c r="O204" s="284"/>
      <c r="P204" s="284"/>
      <c r="Q204" s="284"/>
      <c r="R204" s="284"/>
      <c r="S204" s="113"/>
      <c r="T204" s="113"/>
    </row>
    <row r="205" spans="2:20" x14ac:dyDescent="0.25">
      <c r="B205" s="159"/>
      <c r="C205" s="163" t="s">
        <v>163</v>
      </c>
      <c r="D205" s="162"/>
      <c r="E205" s="162"/>
      <c r="F205" s="162"/>
      <c r="G205" s="162"/>
      <c r="H205" s="159" t="s">
        <v>106</v>
      </c>
      <c r="I205" s="281">
        <f>I41</f>
        <v>0</v>
      </c>
      <c r="J205" s="281">
        <f>J41</f>
        <v>0</v>
      </c>
      <c r="K205" s="281">
        <f t="shared" ref="K205:R205" si="40">K41</f>
        <v>0</v>
      </c>
      <c r="L205" s="281">
        <f t="shared" si="40"/>
        <v>0</v>
      </c>
      <c r="M205" s="281">
        <f t="shared" si="40"/>
        <v>0</v>
      </c>
      <c r="N205" s="281">
        <f t="shared" si="40"/>
        <v>0</v>
      </c>
      <c r="O205" s="281">
        <f t="shared" si="40"/>
        <v>0</v>
      </c>
      <c r="P205" s="281">
        <f t="shared" si="40"/>
        <v>0</v>
      </c>
      <c r="Q205" s="281">
        <f t="shared" si="40"/>
        <v>0</v>
      </c>
      <c r="R205" s="281">
        <f t="shared" si="40"/>
        <v>0</v>
      </c>
      <c r="S205" s="113"/>
      <c r="T205" s="113"/>
    </row>
    <row r="206" spans="2:20" x14ac:dyDescent="0.25">
      <c r="B206" s="159"/>
      <c r="C206" s="425" t="s">
        <v>164</v>
      </c>
      <c r="D206" s="424"/>
      <c r="E206" s="424"/>
      <c r="F206" s="424"/>
      <c r="G206" s="424"/>
      <c r="H206" s="149" t="s">
        <v>106</v>
      </c>
      <c r="I206" s="269">
        <f>I53</f>
        <v>0</v>
      </c>
      <c r="J206" s="269">
        <f>J53</f>
        <v>0</v>
      </c>
      <c r="K206" s="269">
        <f t="shared" ref="K206:R206" si="41">K53</f>
        <v>0</v>
      </c>
      <c r="L206" s="269">
        <f t="shared" si="41"/>
        <v>0</v>
      </c>
      <c r="M206" s="269">
        <f t="shared" si="41"/>
        <v>0</v>
      </c>
      <c r="N206" s="269">
        <f t="shared" si="41"/>
        <v>0</v>
      </c>
      <c r="O206" s="269">
        <f t="shared" si="41"/>
        <v>0</v>
      </c>
      <c r="P206" s="269">
        <f t="shared" si="41"/>
        <v>0</v>
      </c>
      <c r="Q206" s="269">
        <f t="shared" si="41"/>
        <v>0</v>
      </c>
      <c r="R206" s="269">
        <f t="shared" si="41"/>
        <v>0</v>
      </c>
      <c r="S206" s="113"/>
      <c r="T206" s="113"/>
    </row>
    <row r="207" spans="2:20" x14ac:dyDescent="0.25">
      <c r="B207" s="159"/>
      <c r="C207" s="163" t="s">
        <v>165</v>
      </c>
      <c r="D207" s="162"/>
      <c r="E207" s="162"/>
      <c r="F207" s="162"/>
      <c r="G207" s="162"/>
      <c r="H207" s="159" t="s">
        <v>106</v>
      </c>
      <c r="I207" s="269">
        <f>I65</f>
        <v>0</v>
      </c>
      <c r="J207" s="269">
        <f>J65</f>
        <v>0</v>
      </c>
      <c r="K207" s="269">
        <f t="shared" ref="K207:R207" si="42">K65</f>
        <v>0</v>
      </c>
      <c r="L207" s="269">
        <f t="shared" si="42"/>
        <v>0</v>
      </c>
      <c r="M207" s="269">
        <f t="shared" si="42"/>
        <v>0</v>
      </c>
      <c r="N207" s="269">
        <f t="shared" si="42"/>
        <v>0</v>
      </c>
      <c r="O207" s="269">
        <f t="shared" si="42"/>
        <v>0</v>
      </c>
      <c r="P207" s="269">
        <f t="shared" si="42"/>
        <v>0</v>
      </c>
      <c r="Q207" s="269">
        <f t="shared" si="42"/>
        <v>0</v>
      </c>
      <c r="R207" s="269">
        <f t="shared" si="42"/>
        <v>0</v>
      </c>
      <c r="S207" s="113"/>
      <c r="T207" s="113"/>
    </row>
    <row r="208" spans="2:20" x14ac:dyDescent="0.25">
      <c r="B208" s="159"/>
      <c r="C208" s="425" t="s">
        <v>166</v>
      </c>
      <c r="D208" s="424"/>
      <c r="E208" s="424"/>
      <c r="F208" s="424"/>
      <c r="G208" s="424"/>
      <c r="H208" s="149" t="s">
        <v>106</v>
      </c>
      <c r="I208" s="269">
        <f>I77</f>
        <v>0</v>
      </c>
      <c r="J208" s="269">
        <f>J77</f>
        <v>0</v>
      </c>
      <c r="K208" s="269">
        <f t="shared" ref="K208:R208" si="43">K77</f>
        <v>0</v>
      </c>
      <c r="L208" s="269">
        <f t="shared" si="43"/>
        <v>0</v>
      </c>
      <c r="M208" s="269">
        <f t="shared" si="43"/>
        <v>0</v>
      </c>
      <c r="N208" s="269">
        <f t="shared" si="43"/>
        <v>0</v>
      </c>
      <c r="O208" s="269">
        <f t="shared" si="43"/>
        <v>0</v>
      </c>
      <c r="P208" s="269">
        <f t="shared" si="43"/>
        <v>0</v>
      </c>
      <c r="Q208" s="269">
        <f t="shared" si="43"/>
        <v>0</v>
      </c>
      <c r="R208" s="269">
        <f t="shared" si="43"/>
        <v>0</v>
      </c>
      <c r="S208" s="113"/>
      <c r="T208" s="113"/>
    </row>
    <row r="209" spans="2:20" x14ac:dyDescent="0.25">
      <c r="B209" s="159"/>
      <c r="C209" s="163" t="s">
        <v>167</v>
      </c>
      <c r="D209" s="162"/>
      <c r="E209" s="162"/>
      <c r="F209" s="162"/>
      <c r="G209" s="162"/>
      <c r="H209" s="159" t="s">
        <v>106</v>
      </c>
      <c r="I209" s="269">
        <f>I89</f>
        <v>0</v>
      </c>
      <c r="J209" s="269">
        <f>J89</f>
        <v>0</v>
      </c>
      <c r="K209" s="269">
        <f t="shared" ref="K209:R209" si="44">K89</f>
        <v>0</v>
      </c>
      <c r="L209" s="269">
        <f t="shared" si="44"/>
        <v>0</v>
      </c>
      <c r="M209" s="269">
        <f t="shared" si="44"/>
        <v>0</v>
      </c>
      <c r="N209" s="269">
        <f t="shared" si="44"/>
        <v>0</v>
      </c>
      <c r="O209" s="269">
        <f t="shared" si="44"/>
        <v>0</v>
      </c>
      <c r="P209" s="269">
        <f t="shared" si="44"/>
        <v>0</v>
      </c>
      <c r="Q209" s="269">
        <f t="shared" si="44"/>
        <v>0</v>
      </c>
      <c r="R209" s="269">
        <f t="shared" si="44"/>
        <v>0</v>
      </c>
      <c r="S209" s="113"/>
      <c r="T209" s="113"/>
    </row>
    <row r="210" spans="2:20" x14ac:dyDescent="0.25">
      <c r="B210" s="159"/>
      <c r="C210" s="425" t="s">
        <v>168</v>
      </c>
      <c r="D210" s="424"/>
      <c r="E210" s="424"/>
      <c r="F210" s="424"/>
      <c r="G210" s="424"/>
      <c r="H210" s="149" t="s">
        <v>106</v>
      </c>
      <c r="I210" s="269">
        <f>I101</f>
        <v>0</v>
      </c>
      <c r="J210" s="269">
        <f>J101</f>
        <v>0</v>
      </c>
      <c r="K210" s="269">
        <f t="shared" ref="K210:R210" si="45">K101</f>
        <v>0</v>
      </c>
      <c r="L210" s="269">
        <f t="shared" si="45"/>
        <v>0</v>
      </c>
      <c r="M210" s="269">
        <f t="shared" si="45"/>
        <v>0</v>
      </c>
      <c r="N210" s="269">
        <f t="shared" si="45"/>
        <v>0</v>
      </c>
      <c r="O210" s="269">
        <f t="shared" si="45"/>
        <v>0</v>
      </c>
      <c r="P210" s="269">
        <f t="shared" si="45"/>
        <v>0</v>
      </c>
      <c r="Q210" s="269">
        <f t="shared" si="45"/>
        <v>0</v>
      </c>
      <c r="R210" s="269">
        <f t="shared" si="45"/>
        <v>0</v>
      </c>
      <c r="S210" s="113"/>
      <c r="T210" s="113"/>
    </row>
    <row r="211" spans="2:20" x14ac:dyDescent="0.25">
      <c r="B211" s="159"/>
      <c r="C211" s="163" t="s">
        <v>169</v>
      </c>
      <c r="D211" s="162"/>
      <c r="E211" s="162"/>
      <c r="F211" s="162"/>
      <c r="G211" s="162"/>
      <c r="H211" s="159" t="s">
        <v>106</v>
      </c>
      <c r="I211" s="269">
        <f>I113</f>
        <v>0</v>
      </c>
      <c r="J211" s="269">
        <f>J113</f>
        <v>0</v>
      </c>
      <c r="K211" s="269">
        <f t="shared" ref="K211:R211" si="46">K113</f>
        <v>0</v>
      </c>
      <c r="L211" s="269">
        <f t="shared" si="46"/>
        <v>0</v>
      </c>
      <c r="M211" s="269">
        <f t="shared" si="46"/>
        <v>0</v>
      </c>
      <c r="N211" s="269">
        <f t="shared" si="46"/>
        <v>0</v>
      </c>
      <c r="O211" s="269">
        <f t="shared" si="46"/>
        <v>0</v>
      </c>
      <c r="P211" s="269">
        <f t="shared" si="46"/>
        <v>0</v>
      </c>
      <c r="Q211" s="269">
        <f t="shared" si="46"/>
        <v>0</v>
      </c>
      <c r="R211" s="269">
        <f t="shared" si="46"/>
        <v>0</v>
      </c>
      <c r="S211" s="113"/>
      <c r="T211" s="113"/>
    </row>
    <row r="212" spans="2:20" x14ac:dyDescent="0.25">
      <c r="B212" s="159"/>
      <c r="C212" s="425" t="s">
        <v>170</v>
      </c>
      <c r="D212" s="424"/>
      <c r="E212" s="424"/>
      <c r="F212" s="424"/>
      <c r="G212" s="424"/>
      <c r="H212" s="149" t="s">
        <v>106</v>
      </c>
      <c r="I212" s="269">
        <f>I125</f>
        <v>0</v>
      </c>
      <c r="J212" s="269">
        <f>J125</f>
        <v>0</v>
      </c>
      <c r="K212" s="269">
        <f t="shared" ref="K212:R212" si="47">K125</f>
        <v>0</v>
      </c>
      <c r="L212" s="269">
        <f t="shared" si="47"/>
        <v>0</v>
      </c>
      <c r="M212" s="269">
        <f t="shared" si="47"/>
        <v>0</v>
      </c>
      <c r="N212" s="269">
        <f t="shared" si="47"/>
        <v>0</v>
      </c>
      <c r="O212" s="269">
        <f t="shared" si="47"/>
        <v>0</v>
      </c>
      <c r="P212" s="269">
        <f t="shared" si="47"/>
        <v>0</v>
      </c>
      <c r="Q212" s="269">
        <f t="shared" si="47"/>
        <v>0</v>
      </c>
      <c r="R212" s="269">
        <f t="shared" si="47"/>
        <v>0</v>
      </c>
      <c r="S212" s="113"/>
      <c r="T212" s="113"/>
    </row>
    <row r="213" spans="2:20" x14ac:dyDescent="0.25">
      <c r="B213" s="159"/>
      <c r="C213" s="163" t="s">
        <v>171</v>
      </c>
      <c r="D213" s="162"/>
      <c r="E213" s="162"/>
      <c r="F213" s="162"/>
      <c r="G213" s="162"/>
      <c r="H213" s="159" t="s">
        <v>106</v>
      </c>
      <c r="I213" s="269">
        <f>I137</f>
        <v>0</v>
      </c>
      <c r="J213" s="269">
        <f>J137</f>
        <v>0</v>
      </c>
      <c r="K213" s="269">
        <f t="shared" ref="K213:R213" si="48">K137</f>
        <v>0</v>
      </c>
      <c r="L213" s="269">
        <f t="shared" si="48"/>
        <v>0</v>
      </c>
      <c r="M213" s="269">
        <f t="shared" si="48"/>
        <v>0</v>
      </c>
      <c r="N213" s="269">
        <f t="shared" si="48"/>
        <v>0</v>
      </c>
      <c r="O213" s="269">
        <f t="shared" si="48"/>
        <v>0</v>
      </c>
      <c r="P213" s="269">
        <f t="shared" si="48"/>
        <v>0</v>
      </c>
      <c r="Q213" s="269">
        <f t="shared" si="48"/>
        <v>0</v>
      </c>
      <c r="R213" s="269">
        <f t="shared" si="48"/>
        <v>0</v>
      </c>
      <c r="S213" s="113"/>
      <c r="T213" s="113"/>
    </row>
    <row r="214" spans="2:20" x14ac:dyDescent="0.25">
      <c r="B214" s="159"/>
      <c r="C214" s="425" t="s">
        <v>172</v>
      </c>
      <c r="D214" s="424"/>
      <c r="E214" s="424"/>
      <c r="F214" s="424"/>
      <c r="G214" s="424"/>
      <c r="H214" s="149" t="s">
        <v>106</v>
      </c>
      <c r="I214" s="269">
        <f>I149</f>
        <v>0</v>
      </c>
      <c r="J214" s="269">
        <f>J149</f>
        <v>0</v>
      </c>
      <c r="K214" s="269">
        <f t="shared" ref="K214:R214" si="49">K149</f>
        <v>0</v>
      </c>
      <c r="L214" s="269">
        <f t="shared" si="49"/>
        <v>0</v>
      </c>
      <c r="M214" s="269">
        <f t="shared" si="49"/>
        <v>0</v>
      </c>
      <c r="N214" s="269">
        <f t="shared" si="49"/>
        <v>0</v>
      </c>
      <c r="O214" s="269">
        <f t="shared" si="49"/>
        <v>0</v>
      </c>
      <c r="P214" s="269">
        <f t="shared" si="49"/>
        <v>0</v>
      </c>
      <c r="Q214" s="269">
        <f t="shared" si="49"/>
        <v>0</v>
      </c>
      <c r="R214" s="269">
        <f t="shared" si="49"/>
        <v>0</v>
      </c>
      <c r="S214" s="113"/>
      <c r="T214" s="113"/>
    </row>
    <row r="215" spans="2:20" x14ac:dyDescent="0.25">
      <c r="B215" s="159"/>
      <c r="C215" s="175" t="s">
        <v>173</v>
      </c>
      <c r="D215" s="167"/>
      <c r="E215" s="167"/>
      <c r="F215" s="167"/>
      <c r="G215" s="167"/>
      <c r="H215" s="168" t="s">
        <v>106</v>
      </c>
      <c r="I215" s="282">
        <f>SUM(I205:I214)</f>
        <v>0</v>
      </c>
      <c r="J215" s="282">
        <f>SUM(J205:J214)</f>
        <v>0</v>
      </c>
      <c r="K215" s="282">
        <f t="shared" ref="K215:R215" si="50">SUM(K205:K214)</f>
        <v>0</v>
      </c>
      <c r="L215" s="282">
        <f t="shared" si="50"/>
        <v>0</v>
      </c>
      <c r="M215" s="282">
        <f t="shared" si="50"/>
        <v>0</v>
      </c>
      <c r="N215" s="282">
        <f t="shared" si="50"/>
        <v>0</v>
      </c>
      <c r="O215" s="282">
        <f t="shared" si="50"/>
        <v>0</v>
      </c>
      <c r="P215" s="282">
        <f t="shared" si="50"/>
        <v>0</v>
      </c>
      <c r="Q215" s="282">
        <f t="shared" si="50"/>
        <v>0</v>
      </c>
      <c r="R215" s="282">
        <f t="shared" si="50"/>
        <v>0</v>
      </c>
      <c r="S215" s="113"/>
      <c r="T215" s="113"/>
    </row>
    <row r="216" spans="2:20" x14ac:dyDescent="0.25">
      <c r="B216" s="159"/>
      <c r="C216" s="160" t="s">
        <v>174</v>
      </c>
      <c r="D216" s="155"/>
      <c r="E216" s="155"/>
      <c r="F216" s="155"/>
      <c r="G216" s="155"/>
      <c r="H216" s="153" t="s">
        <v>106</v>
      </c>
      <c r="I216" s="269">
        <f>SUM(I215:XFD215)</f>
        <v>0</v>
      </c>
      <c r="J216" s="269"/>
      <c r="K216" s="269"/>
      <c r="L216" s="269"/>
      <c r="M216" s="269"/>
      <c r="N216" s="269"/>
      <c r="O216" s="269"/>
      <c r="P216" s="269"/>
      <c r="Q216" s="269"/>
      <c r="R216" s="269"/>
      <c r="S216" s="113"/>
      <c r="T216" s="113"/>
    </row>
    <row r="217" spans="2:20" x14ac:dyDescent="0.25">
      <c r="B217" s="159"/>
      <c r="C217" s="161" t="s">
        <v>161</v>
      </c>
      <c r="D217" s="154"/>
      <c r="E217" s="154"/>
      <c r="F217" s="154"/>
      <c r="G217" s="154"/>
      <c r="H217" s="151"/>
      <c r="I217" s="280">
        <f>(1/$H$16)*(1-(1/(1+$H$16))^$H$15)</f>
        <v>0</v>
      </c>
      <c r="J217" s="269"/>
      <c r="K217" s="269"/>
      <c r="L217" s="269"/>
      <c r="M217" s="269"/>
      <c r="N217" s="269"/>
      <c r="O217" s="269"/>
      <c r="P217" s="269"/>
      <c r="Q217" s="269"/>
      <c r="R217" s="269"/>
      <c r="S217" s="113"/>
      <c r="T217" s="113"/>
    </row>
    <row r="218" spans="2:20" x14ac:dyDescent="0.25">
      <c r="B218" s="159"/>
      <c r="C218" s="160" t="s">
        <v>175</v>
      </c>
      <c r="D218" s="155"/>
      <c r="E218" s="155"/>
      <c r="F218" s="155"/>
      <c r="G218" s="155"/>
      <c r="H218" s="153" t="s">
        <v>123</v>
      </c>
      <c r="I218" s="269">
        <f>I217*I216</f>
        <v>0</v>
      </c>
      <c r="J218" s="269"/>
      <c r="K218" s="269"/>
      <c r="L218" s="269"/>
      <c r="M218" s="269"/>
      <c r="N218" s="269"/>
      <c r="O218" s="269"/>
      <c r="P218" s="269"/>
      <c r="Q218" s="269"/>
      <c r="R218" s="269"/>
      <c r="S218" s="113"/>
      <c r="T218" s="113"/>
    </row>
    <row r="219" spans="2:20" x14ac:dyDescent="0.25">
      <c r="B219" s="159"/>
      <c r="C219" s="171"/>
      <c r="D219" s="171"/>
      <c r="E219" s="171"/>
      <c r="F219" s="171"/>
      <c r="G219" s="171"/>
      <c r="H219" s="169"/>
      <c r="I219" s="283"/>
      <c r="J219" s="283"/>
      <c r="K219" s="283"/>
      <c r="L219" s="283"/>
      <c r="M219" s="283"/>
      <c r="N219" s="283"/>
      <c r="O219" s="283"/>
      <c r="P219" s="283"/>
      <c r="Q219" s="283"/>
      <c r="R219" s="283"/>
      <c r="S219" s="113"/>
      <c r="T219" s="113"/>
    </row>
    <row r="220" spans="2:20" x14ac:dyDescent="0.25">
      <c r="B220" s="159"/>
      <c r="C220" s="172" t="s">
        <v>176</v>
      </c>
      <c r="D220" s="173"/>
      <c r="E220" s="173"/>
      <c r="F220" s="173"/>
      <c r="G220" s="173"/>
      <c r="H220" s="174"/>
      <c r="I220" s="284">
        <f>SUM(I186:I195)*$H$19</f>
        <v>0</v>
      </c>
      <c r="J220" s="284">
        <f>SUM(J186:J195)*$H$19</f>
        <v>0</v>
      </c>
      <c r="K220" s="284">
        <f t="shared" ref="K220:R220" si="51">SUM(K186:K195)*$H$19</f>
        <v>0</v>
      </c>
      <c r="L220" s="284">
        <f t="shared" si="51"/>
        <v>0</v>
      </c>
      <c r="M220" s="284">
        <f t="shared" si="51"/>
        <v>0</v>
      </c>
      <c r="N220" s="284">
        <f t="shared" si="51"/>
        <v>0</v>
      </c>
      <c r="O220" s="284">
        <f t="shared" si="51"/>
        <v>0</v>
      </c>
      <c r="P220" s="284">
        <f t="shared" si="51"/>
        <v>0</v>
      </c>
      <c r="Q220" s="284">
        <f t="shared" si="51"/>
        <v>0</v>
      </c>
      <c r="R220" s="284">
        <f t="shared" si="51"/>
        <v>0</v>
      </c>
      <c r="S220" s="113"/>
      <c r="T220" s="113"/>
    </row>
    <row r="221" spans="2:20" x14ac:dyDescent="0.25">
      <c r="B221" s="159"/>
      <c r="C221" s="176" t="s">
        <v>125</v>
      </c>
      <c r="D221" s="177"/>
      <c r="E221" s="177"/>
      <c r="F221" s="177"/>
      <c r="G221" s="177"/>
      <c r="H221" s="178" t="s">
        <v>177</v>
      </c>
      <c r="I221" s="286">
        <f>SUM(I222:I231)</f>
        <v>0</v>
      </c>
      <c r="J221" s="286">
        <f>SUM(J222:J231)</f>
        <v>0</v>
      </c>
      <c r="K221" s="286">
        <f t="shared" ref="K221:R221" si="52">SUM(K222:K231)</f>
        <v>0</v>
      </c>
      <c r="L221" s="286">
        <f t="shared" si="52"/>
        <v>0</v>
      </c>
      <c r="M221" s="286">
        <f t="shared" si="52"/>
        <v>0</v>
      </c>
      <c r="N221" s="286">
        <f t="shared" si="52"/>
        <v>0</v>
      </c>
      <c r="O221" s="286">
        <f t="shared" si="52"/>
        <v>0</v>
      </c>
      <c r="P221" s="286">
        <f t="shared" si="52"/>
        <v>0</v>
      </c>
      <c r="Q221" s="286">
        <f t="shared" si="52"/>
        <v>0</v>
      </c>
      <c r="R221" s="286">
        <f t="shared" si="52"/>
        <v>0</v>
      </c>
      <c r="S221" s="113"/>
      <c r="T221" s="113"/>
    </row>
    <row r="222" spans="2:20" x14ac:dyDescent="0.25">
      <c r="B222" s="159"/>
      <c r="C222" s="163" t="s">
        <v>178</v>
      </c>
      <c r="D222" s="162"/>
      <c r="E222" s="162"/>
      <c r="F222" s="162"/>
      <c r="G222" s="162"/>
      <c r="H222" s="159" t="s">
        <v>177</v>
      </c>
      <c r="I222" s="281">
        <f>(I32*I35*$H$20*I40/1000)/I29</f>
        <v>0</v>
      </c>
      <c r="J222" s="281">
        <f t="shared" ref="J222:R222" si="53">(J32*J35*$H$20*J40/1000)/J29</f>
        <v>0</v>
      </c>
      <c r="K222" s="281">
        <f>(K32*K35*$H$20*K40/1000)/K29</f>
        <v>0</v>
      </c>
      <c r="L222" s="281">
        <f t="shared" si="53"/>
        <v>0</v>
      </c>
      <c r="M222" s="281">
        <f t="shared" si="53"/>
        <v>0</v>
      </c>
      <c r="N222" s="281">
        <f t="shared" si="53"/>
        <v>0</v>
      </c>
      <c r="O222" s="281">
        <f t="shared" si="53"/>
        <v>0</v>
      </c>
      <c r="P222" s="281">
        <f t="shared" si="53"/>
        <v>0</v>
      </c>
      <c r="Q222" s="281">
        <f t="shared" si="53"/>
        <v>0</v>
      </c>
      <c r="R222" s="281">
        <f t="shared" si="53"/>
        <v>0</v>
      </c>
      <c r="S222" s="113"/>
      <c r="T222" s="113"/>
    </row>
    <row r="223" spans="2:20" x14ac:dyDescent="0.25">
      <c r="B223" s="159"/>
      <c r="C223" s="425" t="s">
        <v>179</v>
      </c>
      <c r="D223" s="424"/>
      <c r="E223" s="424"/>
      <c r="F223" s="424"/>
      <c r="G223" s="424"/>
      <c r="H223" s="149" t="s">
        <v>177</v>
      </c>
      <c r="I223" s="269">
        <f>(I44*I47*$H$20*I52/1000)/I29</f>
        <v>0</v>
      </c>
      <c r="J223" s="269">
        <f t="shared" ref="J223:R223" si="54">(J44*J47*$H$20*J52/1000)/J29</f>
        <v>0</v>
      </c>
      <c r="K223" s="269">
        <f t="shared" si="54"/>
        <v>0</v>
      </c>
      <c r="L223" s="269">
        <f t="shared" si="54"/>
        <v>0</v>
      </c>
      <c r="M223" s="269">
        <f t="shared" si="54"/>
        <v>0</v>
      </c>
      <c r="N223" s="269">
        <f t="shared" si="54"/>
        <v>0</v>
      </c>
      <c r="O223" s="269">
        <f t="shared" si="54"/>
        <v>0</v>
      </c>
      <c r="P223" s="269">
        <f t="shared" si="54"/>
        <v>0</v>
      </c>
      <c r="Q223" s="269">
        <f t="shared" si="54"/>
        <v>0</v>
      </c>
      <c r="R223" s="269">
        <f t="shared" si="54"/>
        <v>0</v>
      </c>
      <c r="S223" s="113"/>
      <c r="T223" s="113"/>
    </row>
    <row r="224" spans="2:20" x14ac:dyDescent="0.25">
      <c r="B224" s="159"/>
      <c r="C224" s="163" t="s">
        <v>180</v>
      </c>
      <c r="D224" s="162"/>
      <c r="E224" s="162"/>
      <c r="F224" s="162"/>
      <c r="G224" s="162"/>
      <c r="H224" s="159" t="s">
        <v>177</v>
      </c>
      <c r="I224" s="269">
        <f>(I56*I59*$H$20*I64/1000)/I29</f>
        <v>0</v>
      </c>
      <c r="J224" s="269">
        <f t="shared" ref="J224:R224" si="55">(J56*J59*$H$20*J64/1000)/J29</f>
        <v>0</v>
      </c>
      <c r="K224" s="269">
        <f t="shared" si="55"/>
        <v>0</v>
      </c>
      <c r="L224" s="269">
        <f t="shared" si="55"/>
        <v>0</v>
      </c>
      <c r="M224" s="269">
        <f t="shared" si="55"/>
        <v>0</v>
      </c>
      <c r="N224" s="269">
        <f t="shared" si="55"/>
        <v>0</v>
      </c>
      <c r="O224" s="269">
        <f t="shared" si="55"/>
        <v>0</v>
      </c>
      <c r="P224" s="269">
        <f t="shared" si="55"/>
        <v>0</v>
      </c>
      <c r="Q224" s="269">
        <f t="shared" si="55"/>
        <v>0</v>
      </c>
      <c r="R224" s="269">
        <f t="shared" si="55"/>
        <v>0</v>
      </c>
      <c r="S224" s="113"/>
      <c r="T224" s="113"/>
    </row>
    <row r="225" spans="2:20" x14ac:dyDescent="0.25">
      <c r="B225" s="159"/>
      <c r="C225" s="425" t="s">
        <v>181</v>
      </c>
      <c r="D225" s="424"/>
      <c r="E225" s="424"/>
      <c r="F225" s="424"/>
      <c r="G225" s="424"/>
      <c r="H225" s="149" t="s">
        <v>177</v>
      </c>
      <c r="I225" s="269">
        <f>(I68*I71*$H$20*I76/1000)/I29</f>
        <v>0</v>
      </c>
      <c r="J225" s="269">
        <f t="shared" ref="J225:R225" si="56">(J68*J71*$H$20*J76/1000)/J29</f>
        <v>0</v>
      </c>
      <c r="K225" s="269">
        <f t="shared" si="56"/>
        <v>0</v>
      </c>
      <c r="L225" s="269">
        <f t="shared" si="56"/>
        <v>0</v>
      </c>
      <c r="M225" s="269">
        <f t="shared" si="56"/>
        <v>0</v>
      </c>
      <c r="N225" s="269">
        <f t="shared" si="56"/>
        <v>0</v>
      </c>
      <c r="O225" s="269">
        <f t="shared" si="56"/>
        <v>0</v>
      </c>
      <c r="P225" s="269">
        <f t="shared" si="56"/>
        <v>0</v>
      </c>
      <c r="Q225" s="269">
        <f t="shared" si="56"/>
        <v>0</v>
      </c>
      <c r="R225" s="269">
        <f t="shared" si="56"/>
        <v>0</v>
      </c>
      <c r="S225" s="113"/>
      <c r="T225" s="113"/>
    </row>
    <row r="226" spans="2:20" x14ac:dyDescent="0.25">
      <c r="B226" s="159"/>
      <c r="C226" s="163" t="s">
        <v>182</v>
      </c>
      <c r="D226" s="162"/>
      <c r="E226" s="162"/>
      <c r="F226" s="162"/>
      <c r="G226" s="162"/>
      <c r="H226" s="159" t="s">
        <v>177</v>
      </c>
      <c r="I226" s="269">
        <f>(I80*I83*$H$20*I88/1000)/I29</f>
        <v>0</v>
      </c>
      <c r="J226" s="269">
        <f t="shared" ref="J226:R226" si="57">(J80*J83*$H$20*J88/1000)/J29</f>
        <v>0</v>
      </c>
      <c r="K226" s="269">
        <f t="shared" si="57"/>
        <v>0</v>
      </c>
      <c r="L226" s="269">
        <f t="shared" si="57"/>
        <v>0</v>
      </c>
      <c r="M226" s="269">
        <f t="shared" si="57"/>
        <v>0</v>
      </c>
      <c r="N226" s="269">
        <f t="shared" si="57"/>
        <v>0</v>
      </c>
      <c r="O226" s="269">
        <f t="shared" si="57"/>
        <v>0</v>
      </c>
      <c r="P226" s="269">
        <f t="shared" si="57"/>
        <v>0</v>
      </c>
      <c r="Q226" s="269">
        <f t="shared" si="57"/>
        <v>0</v>
      </c>
      <c r="R226" s="269">
        <f t="shared" si="57"/>
        <v>0</v>
      </c>
      <c r="S226" s="113"/>
      <c r="T226" s="113"/>
    </row>
    <row r="227" spans="2:20" x14ac:dyDescent="0.25">
      <c r="B227" s="159"/>
      <c r="C227" s="425" t="s">
        <v>183</v>
      </c>
      <c r="D227" s="424"/>
      <c r="E227" s="424"/>
      <c r="F227" s="424"/>
      <c r="G227" s="424"/>
      <c r="H227" s="149" t="s">
        <v>177</v>
      </c>
      <c r="I227" s="269">
        <f>(I92*I95*$H$20*I100/1000)/I29</f>
        <v>0</v>
      </c>
      <c r="J227" s="269">
        <f t="shared" ref="J227:R227" si="58">(J92*J95*$H$20*J100/1000)/J29</f>
        <v>0</v>
      </c>
      <c r="K227" s="269">
        <f t="shared" si="58"/>
        <v>0</v>
      </c>
      <c r="L227" s="269">
        <f t="shared" si="58"/>
        <v>0</v>
      </c>
      <c r="M227" s="269">
        <f t="shared" si="58"/>
        <v>0</v>
      </c>
      <c r="N227" s="269">
        <f t="shared" si="58"/>
        <v>0</v>
      </c>
      <c r="O227" s="269">
        <f t="shared" si="58"/>
        <v>0</v>
      </c>
      <c r="P227" s="269">
        <f t="shared" si="58"/>
        <v>0</v>
      </c>
      <c r="Q227" s="269">
        <f t="shared" si="58"/>
        <v>0</v>
      </c>
      <c r="R227" s="269">
        <f t="shared" si="58"/>
        <v>0</v>
      </c>
      <c r="S227" s="113"/>
      <c r="T227" s="113"/>
    </row>
    <row r="228" spans="2:20" x14ac:dyDescent="0.25">
      <c r="B228" s="159"/>
      <c r="C228" s="163" t="s">
        <v>184</v>
      </c>
      <c r="D228" s="162"/>
      <c r="E228" s="162"/>
      <c r="F228" s="162"/>
      <c r="G228" s="162"/>
      <c r="H228" s="159" t="s">
        <v>177</v>
      </c>
      <c r="I228" s="269">
        <f>(I104*I107*$H$20*I112/1000)/I29</f>
        <v>0</v>
      </c>
      <c r="J228" s="269">
        <f t="shared" ref="J228:R228" si="59">(J104*J107*$H$20*J112/1000)/J29</f>
        <v>0</v>
      </c>
      <c r="K228" s="269">
        <f t="shared" si="59"/>
        <v>0</v>
      </c>
      <c r="L228" s="269">
        <f t="shared" si="59"/>
        <v>0</v>
      </c>
      <c r="M228" s="269">
        <f t="shared" si="59"/>
        <v>0</v>
      </c>
      <c r="N228" s="269">
        <f t="shared" si="59"/>
        <v>0</v>
      </c>
      <c r="O228" s="269">
        <f t="shared" si="59"/>
        <v>0</v>
      </c>
      <c r="P228" s="269">
        <f t="shared" si="59"/>
        <v>0</v>
      </c>
      <c r="Q228" s="269">
        <f t="shared" si="59"/>
        <v>0</v>
      </c>
      <c r="R228" s="269">
        <f t="shared" si="59"/>
        <v>0</v>
      </c>
      <c r="S228" s="113"/>
      <c r="T228" s="113"/>
    </row>
    <row r="229" spans="2:20" x14ac:dyDescent="0.25">
      <c r="B229" s="159"/>
      <c r="C229" s="425" t="s">
        <v>185</v>
      </c>
      <c r="D229" s="424"/>
      <c r="E229" s="424"/>
      <c r="F229" s="424"/>
      <c r="G229" s="424"/>
      <c r="H229" s="149" t="s">
        <v>177</v>
      </c>
      <c r="I229" s="269">
        <f>(I116*I119*$H$20*I124/1000)/I29</f>
        <v>0</v>
      </c>
      <c r="J229" s="269">
        <f t="shared" ref="J229:R229" si="60">(J116*J119*$H$20*J124/1000)/J29</f>
        <v>0</v>
      </c>
      <c r="K229" s="269">
        <f t="shared" si="60"/>
        <v>0</v>
      </c>
      <c r="L229" s="269">
        <f t="shared" si="60"/>
        <v>0</v>
      </c>
      <c r="M229" s="269">
        <f t="shared" si="60"/>
        <v>0</v>
      </c>
      <c r="N229" s="269">
        <f t="shared" si="60"/>
        <v>0</v>
      </c>
      <c r="O229" s="269">
        <f t="shared" si="60"/>
        <v>0</v>
      </c>
      <c r="P229" s="269">
        <f t="shared" si="60"/>
        <v>0</v>
      </c>
      <c r="Q229" s="269">
        <f t="shared" si="60"/>
        <v>0</v>
      </c>
      <c r="R229" s="269">
        <f t="shared" si="60"/>
        <v>0</v>
      </c>
      <c r="S229" s="113"/>
      <c r="T229" s="113"/>
    </row>
    <row r="230" spans="2:20" x14ac:dyDescent="0.25">
      <c r="B230" s="159"/>
      <c r="C230" s="163" t="s">
        <v>186</v>
      </c>
      <c r="D230" s="162"/>
      <c r="E230" s="162"/>
      <c r="F230" s="162"/>
      <c r="G230" s="162"/>
      <c r="H230" s="159" t="s">
        <v>177</v>
      </c>
      <c r="I230" s="269">
        <f>(I128*I131*$H$20*I136/1000)/I29</f>
        <v>0</v>
      </c>
      <c r="J230" s="269">
        <f t="shared" ref="J230:R230" si="61">(J128*J131*$H$20*J136/1000)/J29</f>
        <v>0</v>
      </c>
      <c r="K230" s="269">
        <f t="shared" si="61"/>
        <v>0</v>
      </c>
      <c r="L230" s="269">
        <f t="shared" si="61"/>
        <v>0</v>
      </c>
      <c r="M230" s="269">
        <f t="shared" si="61"/>
        <v>0</v>
      </c>
      <c r="N230" s="269">
        <f t="shared" si="61"/>
        <v>0</v>
      </c>
      <c r="O230" s="269">
        <f t="shared" si="61"/>
        <v>0</v>
      </c>
      <c r="P230" s="269">
        <f t="shared" si="61"/>
        <v>0</v>
      </c>
      <c r="Q230" s="269">
        <f t="shared" si="61"/>
        <v>0</v>
      </c>
      <c r="R230" s="269">
        <f t="shared" si="61"/>
        <v>0</v>
      </c>
      <c r="S230" s="113"/>
      <c r="T230" s="113"/>
    </row>
    <row r="231" spans="2:20" x14ac:dyDescent="0.25">
      <c r="B231" s="159"/>
      <c r="C231" s="425" t="s">
        <v>187</v>
      </c>
      <c r="D231" s="424"/>
      <c r="E231" s="424"/>
      <c r="F231" s="424"/>
      <c r="G231" s="424"/>
      <c r="H231" s="149" t="s">
        <v>177</v>
      </c>
      <c r="I231" s="269">
        <f>(I140*I143*$H$20*I148/1000)/I29</f>
        <v>0</v>
      </c>
      <c r="J231" s="269">
        <f t="shared" ref="J231:R231" si="62">(J140*J143*$H$20*J148/1000)/J29</f>
        <v>0</v>
      </c>
      <c r="K231" s="269">
        <f t="shared" si="62"/>
        <v>0</v>
      </c>
      <c r="L231" s="269">
        <f t="shared" si="62"/>
        <v>0</v>
      </c>
      <c r="M231" s="269">
        <f t="shared" si="62"/>
        <v>0</v>
      </c>
      <c r="N231" s="269">
        <f t="shared" si="62"/>
        <v>0</v>
      </c>
      <c r="O231" s="269">
        <f t="shared" si="62"/>
        <v>0</v>
      </c>
      <c r="P231" s="269">
        <f t="shared" si="62"/>
        <v>0</v>
      </c>
      <c r="Q231" s="269">
        <f t="shared" si="62"/>
        <v>0</v>
      </c>
      <c r="R231" s="269">
        <f t="shared" si="62"/>
        <v>0</v>
      </c>
      <c r="S231" s="113"/>
      <c r="T231" s="113"/>
    </row>
    <row r="232" spans="2:20" ht="12.75" x14ac:dyDescent="0.2">
      <c r="B232" s="331"/>
      <c r="C232" s="456" t="s">
        <v>188</v>
      </c>
      <c r="D232" s="456"/>
      <c r="E232" s="456"/>
      <c r="F232" s="456"/>
      <c r="G232" s="456"/>
      <c r="H232" s="331" t="s">
        <v>123</v>
      </c>
      <c r="I232" s="336">
        <f>I218+I202</f>
        <v>0</v>
      </c>
      <c r="J232" s="336"/>
      <c r="K232" s="336"/>
      <c r="L232" s="336"/>
      <c r="M232" s="336"/>
      <c r="N232" s="336"/>
      <c r="O232" s="336"/>
      <c r="P232" s="336"/>
      <c r="Q232" s="336"/>
      <c r="R232" s="336"/>
      <c r="S232" s="333"/>
      <c r="T232" s="333"/>
    </row>
    <row r="233" spans="2:20" x14ac:dyDescent="0.2">
      <c r="B233" s="179"/>
      <c r="C233" s="180" t="s">
        <v>189</v>
      </c>
      <c r="D233" s="180"/>
      <c r="E233" s="180"/>
      <c r="F233" s="180"/>
      <c r="G233" s="180"/>
      <c r="H233" s="180" t="s">
        <v>123</v>
      </c>
      <c r="I233" s="232">
        <f>I232+I181</f>
        <v>0</v>
      </c>
      <c r="J233" s="232"/>
      <c r="K233" s="232"/>
      <c r="L233" s="232"/>
      <c r="M233" s="232"/>
      <c r="N233" s="232"/>
      <c r="O233" s="232"/>
      <c r="P233" s="232"/>
      <c r="Q233" s="232"/>
      <c r="R233" s="232"/>
      <c r="S233" s="232"/>
      <c r="T233" s="232"/>
    </row>
    <row r="234" spans="2:20" x14ac:dyDescent="0.25">
      <c r="C234" s="233"/>
      <c r="D234" s="233"/>
      <c r="E234" s="234"/>
      <c r="F234" s="234"/>
      <c r="G234" s="234"/>
      <c r="H234" s="234"/>
      <c r="I234" s="233"/>
      <c r="J234" s="235"/>
      <c r="K234" s="236"/>
    </row>
    <row r="235" spans="2:20" x14ac:dyDescent="0.25">
      <c r="F235" s="238"/>
      <c r="G235" s="238"/>
      <c r="H235" s="238"/>
      <c r="I235" s="239"/>
      <c r="J235" s="235"/>
      <c r="K235" s="236"/>
    </row>
    <row r="237" spans="2:20" x14ac:dyDescent="0.25">
      <c r="I237" s="237" t="s">
        <v>95</v>
      </c>
    </row>
    <row r="238" spans="2:20" x14ac:dyDescent="0.25">
      <c r="I238" s="237" t="s">
        <v>190</v>
      </c>
    </row>
    <row r="239" spans="2:20" x14ac:dyDescent="0.25">
      <c r="I239" s="237" t="s">
        <v>191</v>
      </c>
    </row>
    <row r="240" spans="2:20" x14ac:dyDescent="0.25">
      <c r="I240" s="237" t="s">
        <v>192</v>
      </c>
    </row>
    <row r="243" spans="9:13" x14ac:dyDescent="0.25">
      <c r="I243" s="237"/>
      <c r="J243" s="237"/>
      <c r="L243" s="237"/>
      <c r="M243" s="237"/>
    </row>
  </sheetData>
  <sheetProtection algorithmName="SHA-512" hashValue="K0GGn548PMSwTOpRCGaY5z9UvOgTfs5al8hYxBc8TEw330awDGsLq0lnNp6X4FhxgO4Gx/Sk+9s7E3KwhCZ1kg==" saltValue="s/HyBJ5snsRQlpjRlHClBA==" spinCount="100000" sheet="1" objects="1" scenarios="1"/>
  <mergeCells count="63">
    <mergeCell ref="C11:E11"/>
    <mergeCell ref="F11:I11"/>
    <mergeCell ref="C6:D6"/>
    <mergeCell ref="E6:G6"/>
    <mergeCell ref="H6:I6"/>
    <mergeCell ref="C9:H9"/>
    <mergeCell ref="C10:H10"/>
    <mergeCell ref="C21:G21"/>
    <mergeCell ref="C12:E12"/>
    <mergeCell ref="F12:I12"/>
    <mergeCell ref="C13:E13"/>
    <mergeCell ref="F13:I13"/>
    <mergeCell ref="C14:H14"/>
    <mergeCell ref="C15:G15"/>
    <mergeCell ref="C16:G16"/>
    <mergeCell ref="C17:G17"/>
    <mergeCell ref="C18:G18"/>
    <mergeCell ref="C19:G19"/>
    <mergeCell ref="C20:G20"/>
    <mergeCell ref="C172:G172"/>
    <mergeCell ref="C24:H24"/>
    <mergeCell ref="C154:D154"/>
    <mergeCell ref="C156:G156"/>
    <mergeCell ref="C160:G160"/>
    <mergeCell ref="C163:G163"/>
    <mergeCell ref="C165:G165"/>
    <mergeCell ref="C167:G167"/>
    <mergeCell ref="C168:G168"/>
    <mergeCell ref="C169:G169"/>
    <mergeCell ref="C170:G170"/>
    <mergeCell ref="C171:G171"/>
    <mergeCell ref="C186:G186"/>
    <mergeCell ref="C173:G173"/>
    <mergeCell ref="C174:G174"/>
    <mergeCell ref="C175:G175"/>
    <mergeCell ref="C176:G176"/>
    <mergeCell ref="C177:G177"/>
    <mergeCell ref="C178:G178"/>
    <mergeCell ref="C179:G179"/>
    <mergeCell ref="C181:G181"/>
    <mergeCell ref="C182:G182"/>
    <mergeCell ref="C183:G183"/>
    <mergeCell ref="C185:G185"/>
    <mergeCell ref="C210:G210"/>
    <mergeCell ref="C187:G187"/>
    <mergeCell ref="C188:G188"/>
    <mergeCell ref="C189:G189"/>
    <mergeCell ref="C190:G190"/>
    <mergeCell ref="C191:G191"/>
    <mergeCell ref="C192:G192"/>
    <mergeCell ref="C193:G193"/>
    <mergeCell ref="C194:G194"/>
    <mergeCell ref="C195:G195"/>
    <mergeCell ref="C206:G206"/>
    <mergeCell ref="C208:G208"/>
    <mergeCell ref="C231:G231"/>
    <mergeCell ref="C232:G232"/>
    <mergeCell ref="C212:G212"/>
    <mergeCell ref="C214:G214"/>
    <mergeCell ref="C223:G223"/>
    <mergeCell ref="C225:G225"/>
    <mergeCell ref="C227:G227"/>
    <mergeCell ref="C229:G229"/>
  </mergeCells>
  <dataValidations count="4">
    <dataValidation type="list" allowBlank="1" showInputMessage="1" showErrorMessage="1" sqref="I48:R48 I144:R144 I120:R120 I132:R132 I72:R72 I36:R36 I60:R60 I84:R84 I108:R108 I96:R96" xr:uid="{D982CB6B-DA8C-435E-8D28-6A523850205E}">
      <formula1>$I$237:$I$240</formula1>
    </dataValidation>
    <dataValidation allowBlank="1" showInputMessage="1" showErrorMessage="1" prompt="Markera cell till vänster för att välja pris i dropdown-menyn" sqref="G17" xr:uid="{BEC6421D-98EC-4C65-80A1-0378D8977819}"/>
    <dataValidation type="list" allowBlank="1" showInputMessage="1" showErrorMessage="1" sqref="I27:R27" xr:uid="{D2E7A135-E5A4-4C6D-B6BE-EB78B73DE458}">
      <formula1>INDIRECT(I$26)</formula1>
    </dataValidation>
    <dataValidation type="list" allowBlank="1" showInputMessage="1" showErrorMessage="1" promptTitle="Byggnadstyp" prompt="Välj ett från listan eller skriv in eget i raden under." sqref="L17" xr:uid="{F06E6B6C-5A74-4EB6-BD37-D0588C4812B4}">
      <formula1>$K$10:$K$14</formula1>
    </dataValidation>
  </dataValidations>
  <pageMargins left="0.75" right="0.75" top="1" bottom="1" header="0.5" footer="0.5"/>
  <pageSetup paperSize="9" scale="35" orientation="portrait" horizontalDpi="1200" verticalDpi="1200"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6BE7F88-167D-43E0-AC3A-2713C1DEE1A1}">
          <x14:formula1>
            <xm:f>'4. Reduktionsfaktorer, LENI-tal'!$Q$12:$T$12</xm:f>
          </x14:formula1>
          <xm:sqref>I25:R25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5ED48-348F-4784-A8BF-3BE7B91DE12A}">
  <sheetPr codeName="Blad2">
    <tabColor rgb="FF6B2879"/>
  </sheetPr>
  <dimension ref="A1:S39"/>
  <sheetViews>
    <sheetView topLeftCell="D13" workbookViewId="0"/>
  </sheetViews>
  <sheetFormatPr defaultColWidth="9.140625" defaultRowHeight="12.75" x14ac:dyDescent="0.2"/>
  <cols>
    <col min="1" max="7" width="8.42578125" style="28" customWidth="1"/>
    <col min="8" max="20" width="31" style="28" customWidth="1"/>
    <col min="21" max="39" width="8.42578125" style="28" customWidth="1"/>
    <col min="40" max="16384" width="9.140625" style="28"/>
  </cols>
  <sheetData>
    <row r="1" spans="1:19" x14ac:dyDescent="0.2">
      <c r="A1" s="338" t="s">
        <v>0</v>
      </c>
    </row>
    <row r="2" spans="1:19" ht="33.75" x14ac:dyDescent="0.5">
      <c r="G2" s="1" t="s">
        <v>1</v>
      </c>
    </row>
    <row r="3" spans="1:19" x14ac:dyDescent="0.2">
      <c r="G3" s="28" t="str">
        <f>'1. Introduktion'!G3</f>
        <v>Version 3.0</v>
      </c>
      <c r="H3" s="13"/>
      <c r="I3" s="13"/>
    </row>
    <row r="4" spans="1:19" x14ac:dyDescent="0.2">
      <c r="G4" s="28" t="str">
        <f>'1. Introduktion'!G4</f>
        <v>Datum: 2024-12-17</v>
      </c>
      <c r="H4" s="13"/>
    </row>
    <row r="6" spans="1:19" s="3" customFormat="1" ht="41.25" customHeight="1" x14ac:dyDescent="0.35">
      <c r="B6" s="5"/>
      <c r="C6" s="5"/>
      <c r="D6" s="428"/>
      <c r="E6" s="428"/>
      <c r="F6" s="428"/>
      <c r="G6" s="428"/>
      <c r="H6" s="428"/>
      <c r="I6" s="9"/>
      <c r="J6" s="2"/>
      <c r="K6" s="2"/>
      <c r="P6" s="468"/>
      <c r="Q6" s="468"/>
      <c r="R6" s="468"/>
      <c r="S6" s="468"/>
    </row>
    <row r="9" spans="1:19" ht="23.25" x14ac:dyDescent="0.35">
      <c r="B9" s="35" t="s">
        <v>196</v>
      </c>
      <c r="C9" s="35"/>
      <c r="D9" s="35"/>
      <c r="G9" s="23"/>
      <c r="H9" s="23"/>
      <c r="I9" s="23"/>
      <c r="J9" s="23"/>
      <c r="K9" s="23"/>
    </row>
    <row r="10" spans="1:19" ht="15" x14ac:dyDescent="0.25">
      <c r="B10" s="469" t="s">
        <v>197</v>
      </c>
      <c r="C10" s="470"/>
      <c r="D10" s="470"/>
      <c r="F10" s="31"/>
      <c r="G10" s="471" t="s">
        <v>198</v>
      </c>
      <c r="H10" s="471"/>
      <c r="I10" s="471"/>
      <c r="J10" s="471"/>
      <c r="K10" s="471"/>
    </row>
    <row r="11" spans="1:19" x14ac:dyDescent="0.2">
      <c r="B11" s="470"/>
      <c r="C11" s="470"/>
      <c r="D11" s="470"/>
      <c r="F11" s="31"/>
      <c r="G11" s="73" t="s">
        <v>199</v>
      </c>
      <c r="H11" s="34" t="s">
        <v>200</v>
      </c>
      <c r="I11" s="34" t="s">
        <v>201</v>
      </c>
    </row>
    <row r="12" spans="1:19" ht="33.75" customHeight="1" x14ac:dyDescent="0.2">
      <c r="F12" s="31"/>
      <c r="G12" s="74" t="s">
        <v>34</v>
      </c>
      <c r="H12" s="25" t="s">
        <v>35</v>
      </c>
      <c r="I12" s="459" t="s">
        <v>202</v>
      </c>
      <c r="J12" s="459"/>
      <c r="K12" s="459"/>
    </row>
    <row r="13" spans="1:19" s="345" customFormat="1" ht="160.5" customHeight="1" x14ac:dyDescent="0.2">
      <c r="B13" s="346"/>
      <c r="C13" s="346"/>
      <c r="D13" s="346"/>
      <c r="F13" s="347"/>
      <c r="G13" s="74" t="s">
        <v>37</v>
      </c>
      <c r="H13" s="25" t="s">
        <v>38</v>
      </c>
      <c r="I13" s="459" t="s">
        <v>203</v>
      </c>
      <c r="J13" s="459"/>
      <c r="K13" s="459"/>
    </row>
    <row r="14" spans="1:19" ht="27.95" customHeight="1" x14ac:dyDescent="0.2">
      <c r="F14" s="31"/>
      <c r="G14" s="75" t="s">
        <v>40</v>
      </c>
      <c r="H14" s="26" t="s">
        <v>41</v>
      </c>
      <c r="I14" s="472" t="s">
        <v>204</v>
      </c>
      <c r="J14" s="472"/>
      <c r="K14" s="472"/>
    </row>
    <row r="15" spans="1:19" x14ac:dyDescent="0.2">
      <c r="F15" s="31"/>
      <c r="G15" s="75" t="s">
        <v>43</v>
      </c>
      <c r="H15" s="26" t="s">
        <v>205</v>
      </c>
      <c r="I15" s="461" t="s">
        <v>206</v>
      </c>
      <c r="J15" s="461"/>
      <c r="K15" s="461"/>
    </row>
    <row r="16" spans="1:19" ht="30.6" customHeight="1" x14ac:dyDescent="0.2">
      <c r="F16" s="31"/>
      <c r="G16" s="74" t="s">
        <v>46</v>
      </c>
      <c r="H16" s="25" t="s">
        <v>207</v>
      </c>
      <c r="I16" s="459" t="s">
        <v>208</v>
      </c>
      <c r="J16" s="459"/>
      <c r="K16" s="459"/>
    </row>
    <row r="17" spans="2:11" ht="54.95" customHeight="1" x14ac:dyDescent="0.2">
      <c r="F17" s="31"/>
      <c r="G17" s="74" t="s">
        <v>50</v>
      </c>
      <c r="H17" s="25" t="s">
        <v>51</v>
      </c>
      <c r="I17" s="459" t="s">
        <v>209</v>
      </c>
      <c r="J17" s="459"/>
      <c r="K17" s="459"/>
    </row>
    <row r="18" spans="2:11" ht="15" x14ac:dyDescent="0.25">
      <c r="B18" s="33"/>
      <c r="F18" s="31"/>
      <c r="G18" s="466" t="s">
        <v>210</v>
      </c>
      <c r="H18" s="467"/>
      <c r="I18" s="467"/>
      <c r="J18" s="76"/>
      <c r="K18" s="76"/>
    </row>
    <row r="19" spans="2:11" ht="57.75" customHeight="1" x14ac:dyDescent="0.2">
      <c r="F19" s="31"/>
      <c r="G19" s="74"/>
      <c r="H19" s="25" t="s">
        <v>211</v>
      </c>
      <c r="I19" s="459" t="s">
        <v>212</v>
      </c>
      <c r="J19" s="459"/>
      <c r="K19" s="459"/>
    </row>
    <row r="20" spans="2:11" x14ac:dyDescent="0.2">
      <c r="B20" s="32"/>
      <c r="F20" s="31"/>
      <c r="G20" s="77"/>
      <c r="H20" s="78" t="s">
        <v>77</v>
      </c>
      <c r="I20" s="462" t="s">
        <v>213</v>
      </c>
      <c r="J20" s="462"/>
      <c r="K20" s="462"/>
    </row>
    <row r="21" spans="2:11" ht="34.35" customHeight="1" x14ac:dyDescent="0.2">
      <c r="B21" s="32"/>
      <c r="F21" s="31"/>
      <c r="G21" s="74"/>
      <c r="H21" s="25" t="s">
        <v>79</v>
      </c>
      <c r="I21" s="463" t="s">
        <v>214</v>
      </c>
      <c r="J21" s="463"/>
      <c r="K21" s="463"/>
    </row>
    <row r="22" spans="2:11" ht="15" customHeight="1" x14ac:dyDescent="0.25">
      <c r="B22" s="32"/>
      <c r="F22" s="31"/>
      <c r="G22" s="464" t="s">
        <v>215</v>
      </c>
      <c r="H22" s="465"/>
      <c r="I22" s="465"/>
      <c r="J22" s="76"/>
      <c r="K22" s="76"/>
    </row>
    <row r="23" spans="2:11" ht="46.35" customHeight="1" x14ac:dyDescent="0.2">
      <c r="B23" s="32"/>
      <c r="F23" s="31"/>
      <c r="G23" s="74" t="s">
        <v>83</v>
      </c>
      <c r="H23" s="24" t="s">
        <v>216</v>
      </c>
      <c r="I23" s="459" t="s">
        <v>217</v>
      </c>
      <c r="J23" s="459"/>
      <c r="K23" s="459"/>
    </row>
    <row r="24" spans="2:11" ht="43.5" customHeight="1" x14ac:dyDescent="0.2">
      <c r="B24" s="32"/>
      <c r="F24" s="31"/>
      <c r="G24" s="74" t="s">
        <v>85</v>
      </c>
      <c r="H24" s="24" t="s">
        <v>86</v>
      </c>
      <c r="I24" s="459" t="s">
        <v>218</v>
      </c>
      <c r="J24" s="459"/>
      <c r="K24" s="459"/>
    </row>
    <row r="25" spans="2:11" ht="69.75" customHeight="1" x14ac:dyDescent="0.2">
      <c r="B25" s="32"/>
      <c r="F25" s="31"/>
      <c r="G25" s="74" t="s">
        <v>88</v>
      </c>
      <c r="H25" s="24" t="s">
        <v>89</v>
      </c>
      <c r="I25" s="459" t="s">
        <v>219</v>
      </c>
      <c r="J25" s="459"/>
      <c r="K25" s="459"/>
    </row>
    <row r="26" spans="2:11" ht="43.5" customHeight="1" x14ac:dyDescent="0.2">
      <c r="B26" s="32"/>
      <c r="F26" s="31"/>
      <c r="G26" s="74" t="s">
        <v>90</v>
      </c>
      <c r="H26" s="24" t="s">
        <v>220</v>
      </c>
      <c r="I26" s="459" t="s">
        <v>221</v>
      </c>
      <c r="J26" s="459"/>
      <c r="K26" s="459"/>
    </row>
    <row r="27" spans="2:11" ht="43.5" customHeight="1" x14ac:dyDescent="0.2">
      <c r="B27" s="32"/>
      <c r="F27" s="31"/>
      <c r="G27" s="74" t="s">
        <v>93</v>
      </c>
      <c r="H27" s="24" t="s">
        <v>94</v>
      </c>
      <c r="I27" s="459" t="s">
        <v>222</v>
      </c>
      <c r="J27" s="459"/>
      <c r="K27" s="459"/>
    </row>
    <row r="28" spans="2:11" ht="66" customHeight="1" x14ac:dyDescent="0.2">
      <c r="B28" s="32"/>
      <c r="F28" s="31"/>
      <c r="G28" s="79" t="s">
        <v>223</v>
      </c>
      <c r="H28" s="24" t="s">
        <v>224</v>
      </c>
      <c r="I28" s="460" t="s">
        <v>225</v>
      </c>
      <c r="J28" s="460"/>
      <c r="K28" s="460"/>
    </row>
    <row r="29" spans="2:11" ht="43.5" customHeight="1" x14ac:dyDescent="0.2">
      <c r="B29" s="32"/>
      <c r="F29" s="31"/>
      <c r="G29" s="74" t="s">
        <v>102</v>
      </c>
      <c r="H29" s="24" t="s">
        <v>103</v>
      </c>
      <c r="I29" s="460" t="s">
        <v>226</v>
      </c>
      <c r="J29" s="460"/>
      <c r="K29" s="460"/>
    </row>
    <row r="30" spans="2:11" ht="141.6" customHeight="1" x14ac:dyDescent="0.2">
      <c r="B30" s="32"/>
      <c r="F30" s="31"/>
      <c r="G30" s="74" t="s">
        <v>104</v>
      </c>
      <c r="H30" s="24" t="s">
        <v>105</v>
      </c>
      <c r="I30" s="460" t="s">
        <v>227</v>
      </c>
      <c r="J30" s="460"/>
      <c r="K30" s="460"/>
    </row>
    <row r="31" spans="2:11" x14ac:dyDescent="0.2">
      <c r="B31" s="32"/>
      <c r="F31" s="31"/>
      <c r="G31" s="80" t="s">
        <v>228</v>
      </c>
      <c r="H31" s="27"/>
      <c r="I31" s="63"/>
      <c r="J31" s="63"/>
      <c r="K31" s="63"/>
    </row>
    <row r="32" spans="2:11" ht="71.099999999999994" customHeight="1" x14ac:dyDescent="0.2">
      <c r="B32" s="32"/>
      <c r="F32" s="31"/>
      <c r="G32" s="81" t="s">
        <v>117</v>
      </c>
      <c r="H32" s="79" t="s">
        <v>118</v>
      </c>
      <c r="I32" s="460" t="s">
        <v>229</v>
      </c>
      <c r="J32" s="460"/>
      <c r="K32" s="460"/>
    </row>
    <row r="33" spans="6:11" ht="15" x14ac:dyDescent="0.25">
      <c r="F33" s="31"/>
      <c r="G33" s="82" t="s">
        <v>230</v>
      </c>
      <c r="H33" s="83"/>
      <c r="I33" s="84"/>
      <c r="J33" s="84"/>
      <c r="K33" s="84"/>
    </row>
    <row r="34" spans="6:11" x14ac:dyDescent="0.2">
      <c r="G34" s="74" t="s">
        <v>121</v>
      </c>
      <c r="H34" s="85" t="s">
        <v>231</v>
      </c>
      <c r="I34" s="461" t="s">
        <v>232</v>
      </c>
      <c r="J34" s="461"/>
      <c r="K34" s="461"/>
    </row>
    <row r="35" spans="6:11" ht="74.45" customHeight="1" x14ac:dyDescent="0.2">
      <c r="G35" s="74" t="s">
        <v>124</v>
      </c>
      <c r="H35" s="24" t="s">
        <v>125</v>
      </c>
      <c r="I35" s="459" t="s">
        <v>233</v>
      </c>
      <c r="J35" s="459"/>
      <c r="K35" s="459"/>
    </row>
    <row r="36" spans="6:11" x14ac:dyDescent="0.2">
      <c r="G36" s="74" t="s">
        <v>128</v>
      </c>
      <c r="H36" s="85" t="s">
        <v>234</v>
      </c>
      <c r="I36" s="461" t="s">
        <v>235</v>
      </c>
      <c r="J36" s="461"/>
      <c r="K36" s="461"/>
    </row>
    <row r="37" spans="6:11" ht="17.45" customHeight="1" x14ac:dyDescent="0.2">
      <c r="G37" s="86" t="s">
        <v>130</v>
      </c>
      <c r="H37" s="25" t="s">
        <v>131</v>
      </c>
      <c r="I37" s="459" t="s">
        <v>236</v>
      </c>
      <c r="J37" s="459"/>
      <c r="K37" s="459"/>
    </row>
    <row r="38" spans="6:11" ht="34.35" customHeight="1" x14ac:dyDescent="0.2">
      <c r="G38" s="74" t="s">
        <v>132</v>
      </c>
      <c r="H38" s="24" t="s">
        <v>237</v>
      </c>
      <c r="I38" s="459" t="s">
        <v>238</v>
      </c>
      <c r="J38" s="459"/>
      <c r="K38" s="459"/>
    </row>
    <row r="39" spans="6:11" ht="21" customHeight="1" x14ac:dyDescent="0.2">
      <c r="G39" s="74" t="s">
        <v>134</v>
      </c>
      <c r="H39" s="62" t="s">
        <v>135</v>
      </c>
      <c r="I39" s="459" t="s">
        <v>239</v>
      </c>
      <c r="J39" s="459"/>
      <c r="K39" s="459"/>
    </row>
  </sheetData>
  <sheetProtection algorithmName="SHA-512" hashValue="b/LyOEEmLUIwa46zUWQrlaqxJ5TwIeOmP5cvC+HacRvN0T7if5bIZd1Egoziqw90dyCoiBmYSIcORn+x9KyqRQ==" saltValue="sQYY9o8oO0V5jcfRbc4FMQ==" spinCount="100000" sheet="1" objects="1" scenarios="1"/>
  <mergeCells count="31">
    <mergeCell ref="G18:I18"/>
    <mergeCell ref="D6:F6"/>
    <mergeCell ref="G6:H6"/>
    <mergeCell ref="P6:S6"/>
    <mergeCell ref="B10:D11"/>
    <mergeCell ref="G10:K10"/>
    <mergeCell ref="I12:K12"/>
    <mergeCell ref="I13:K13"/>
    <mergeCell ref="I14:K14"/>
    <mergeCell ref="I15:K15"/>
    <mergeCell ref="I16:K16"/>
    <mergeCell ref="I17:K17"/>
    <mergeCell ref="I30:K30"/>
    <mergeCell ref="I19:K19"/>
    <mergeCell ref="I20:K20"/>
    <mergeCell ref="I21:K21"/>
    <mergeCell ref="G22:I22"/>
    <mergeCell ref="I23:K23"/>
    <mergeCell ref="I24:K24"/>
    <mergeCell ref="I25:K25"/>
    <mergeCell ref="I26:K26"/>
    <mergeCell ref="I27:K27"/>
    <mergeCell ref="I28:K28"/>
    <mergeCell ref="I29:K29"/>
    <mergeCell ref="I39:K39"/>
    <mergeCell ref="I32:K32"/>
    <mergeCell ref="I34:K34"/>
    <mergeCell ref="I35:K35"/>
    <mergeCell ref="I36:K36"/>
    <mergeCell ref="I37:K37"/>
    <mergeCell ref="I38:K38"/>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A1BD8-C606-4F96-AD15-206D541BBD7F}">
  <sheetPr codeName="Blad9">
    <tabColor rgb="FF6B2879"/>
  </sheetPr>
  <dimension ref="A1:V53"/>
  <sheetViews>
    <sheetView topLeftCell="A6" zoomScale="115" zoomScaleNormal="115" workbookViewId="0">
      <selection activeCell="F11" sqref="F11"/>
    </sheetView>
  </sheetViews>
  <sheetFormatPr defaultColWidth="9.140625" defaultRowHeight="12.75" x14ac:dyDescent="0.2"/>
  <cols>
    <col min="1" max="6" width="8.42578125" style="28" customWidth="1"/>
    <col min="7" max="7" width="29" style="28" customWidth="1"/>
    <col min="8" max="8" width="29.140625" style="28" customWidth="1"/>
    <col min="9" max="9" width="19.42578125" style="28" customWidth="1"/>
    <col min="10" max="10" width="18.42578125" style="28" customWidth="1"/>
    <col min="11" max="11" width="19.5703125" style="28" customWidth="1"/>
    <col min="12" max="12" width="17.42578125" style="28" customWidth="1"/>
    <col min="13" max="13" width="12" style="28" customWidth="1"/>
    <col min="14" max="14" width="16.140625" style="28" customWidth="1"/>
    <col min="15" max="15" width="15.5703125" style="28" customWidth="1"/>
    <col min="16" max="16" width="8.42578125" style="28" customWidth="1"/>
    <col min="17" max="17" width="23.140625" style="28" hidden="1" customWidth="1"/>
    <col min="18" max="18" width="18.5703125" style="28" hidden="1" customWidth="1"/>
    <col min="19" max="20" width="31" style="28" hidden="1" customWidth="1"/>
    <col min="21" max="23" width="31" style="28" customWidth="1"/>
    <col min="24" max="42" width="8.42578125" style="28" customWidth="1"/>
    <col min="43" max="16384" width="9.140625" style="28"/>
  </cols>
  <sheetData>
    <row r="1" spans="1:22" x14ac:dyDescent="0.2">
      <c r="A1" s="338" t="s">
        <v>0</v>
      </c>
    </row>
    <row r="2" spans="1:22" ht="33.75" x14ac:dyDescent="0.5">
      <c r="G2" s="1" t="s">
        <v>1</v>
      </c>
    </row>
    <row r="3" spans="1:22" x14ac:dyDescent="0.2">
      <c r="G3" s="28" t="str">
        <f>'1. Introduktion'!G3</f>
        <v>Version 3.0</v>
      </c>
      <c r="H3" s="13"/>
      <c r="I3" s="13"/>
    </row>
    <row r="4" spans="1:22" x14ac:dyDescent="0.2">
      <c r="G4" s="28" t="str">
        <f>'1. Introduktion'!G4</f>
        <v>Datum: 2024-12-17</v>
      </c>
      <c r="H4" s="13"/>
    </row>
    <row r="6" spans="1:22" s="3" customFormat="1" ht="41.25" customHeight="1" x14ac:dyDescent="0.35">
      <c r="B6" s="5"/>
      <c r="C6" s="5"/>
      <c r="D6" s="428"/>
      <c r="E6" s="428"/>
      <c r="F6" s="428"/>
      <c r="G6" s="428"/>
      <c r="H6" s="428"/>
      <c r="I6" s="9"/>
      <c r="J6" s="9"/>
      <c r="K6" s="2"/>
      <c r="L6" s="2"/>
      <c r="M6" s="9"/>
      <c r="N6" s="9"/>
      <c r="S6" s="468"/>
      <c r="T6" s="468"/>
      <c r="U6" s="468"/>
      <c r="V6" s="468"/>
    </row>
    <row r="9" spans="1:22" ht="24" customHeight="1" x14ac:dyDescent="0.35">
      <c r="B9" s="61" t="s">
        <v>240</v>
      </c>
      <c r="C9" s="35"/>
      <c r="D9" s="35"/>
      <c r="G9" s="475" t="s">
        <v>241</v>
      </c>
      <c r="H9" s="476"/>
      <c r="I9" s="476"/>
      <c r="J9" s="476"/>
      <c r="K9" s="476"/>
      <c r="L9" s="477"/>
      <c r="M9" s="477"/>
      <c r="N9" s="477"/>
      <c r="O9" s="477"/>
    </row>
    <row r="10" spans="1:22" x14ac:dyDescent="0.2">
      <c r="B10" s="478" t="s">
        <v>242</v>
      </c>
      <c r="C10" s="479"/>
      <c r="D10" s="479"/>
      <c r="F10" s="31"/>
    </row>
    <row r="11" spans="1:22" ht="45" customHeight="1" x14ac:dyDescent="0.25">
      <c r="B11" s="479"/>
      <c r="C11" s="479"/>
      <c r="D11" s="479"/>
      <c r="F11" s="31"/>
      <c r="G11" s="369"/>
      <c r="H11" s="370" t="s">
        <v>243</v>
      </c>
      <c r="I11" s="371" t="s">
        <v>244</v>
      </c>
      <c r="J11" s="371" t="s">
        <v>245</v>
      </c>
      <c r="K11" s="371" t="s">
        <v>246</v>
      </c>
      <c r="L11" s="371" t="s">
        <v>247</v>
      </c>
      <c r="M11" s="481" t="s">
        <v>248</v>
      </c>
      <c r="N11" s="482"/>
      <c r="O11" s="483"/>
      <c r="Q11" s="485" t="s">
        <v>249</v>
      </c>
      <c r="R11" s="485"/>
      <c r="S11" s="485"/>
      <c r="T11" s="485"/>
    </row>
    <row r="12" spans="1:22" ht="15" customHeight="1" x14ac:dyDescent="0.25">
      <c r="B12" s="479"/>
      <c r="C12" s="479"/>
      <c r="D12" s="479"/>
      <c r="F12" s="31"/>
      <c r="G12" s="391"/>
      <c r="H12" s="372"/>
      <c r="I12" s="373"/>
      <c r="J12" s="374"/>
      <c r="K12" s="374"/>
      <c r="L12" s="374"/>
      <c r="M12" s="348" t="s">
        <v>250</v>
      </c>
      <c r="N12" s="349" t="s">
        <v>251</v>
      </c>
      <c r="O12" s="350" t="s">
        <v>252</v>
      </c>
      <c r="Q12" s="34" t="str">
        <f>G13</f>
        <v>KONTOR</v>
      </c>
      <c r="R12" s="34" t="str">
        <f>G24</f>
        <v>SKOLA OCH RESTAURANG</v>
      </c>
      <c r="S12" s="34" t="str">
        <f>G33</f>
        <v>SPORTHALL</v>
      </c>
      <c r="T12" s="34" t="str">
        <f>G38</f>
        <v>SJUKHUS</v>
      </c>
    </row>
    <row r="13" spans="1:22" ht="15" x14ac:dyDescent="0.25">
      <c r="B13" s="479"/>
      <c r="C13" s="479"/>
      <c r="D13" s="479"/>
      <c r="F13" s="31"/>
      <c r="G13" s="392" t="s">
        <v>253</v>
      </c>
      <c r="H13" s="88" t="s">
        <v>254</v>
      </c>
      <c r="I13" s="375">
        <v>9</v>
      </c>
      <c r="J13" s="366">
        <v>0.8</v>
      </c>
      <c r="K13" s="366">
        <v>0.75</v>
      </c>
      <c r="L13" s="366">
        <v>0.56000000000000005</v>
      </c>
      <c r="M13" s="351">
        <v>18</v>
      </c>
      <c r="N13" s="352">
        <v>14</v>
      </c>
      <c r="O13" s="87">
        <v>8</v>
      </c>
      <c r="Q13" s="28" t="str" cm="1">
        <f t="array" ref="Q13:Q23">H13:H23</f>
        <v>Cellkontor &gt;8 kvm</v>
      </c>
      <c r="R13" s="28" t="str" cm="1">
        <f t="array" ref="R13:R21">H24:H32</f>
        <v>Klassrum</v>
      </c>
      <c r="S13" s="28" t="str" cm="1">
        <f t="array" ref="S13:S17">H33:H37</f>
        <v>Sporthall</v>
      </c>
      <c r="T13" s="28" t="str" cm="1">
        <f t="array" ref="T13:T20">H38:H45</f>
        <v>Vård/patientrum, multifunktion</v>
      </c>
    </row>
    <row r="14" spans="1:22" ht="14.45" customHeight="1" x14ac:dyDescent="0.25">
      <c r="B14" s="479"/>
      <c r="C14" s="479"/>
      <c r="D14" s="479"/>
      <c r="F14" s="31"/>
      <c r="G14" s="484" t="s">
        <v>255</v>
      </c>
      <c r="H14" s="88" t="s">
        <v>256</v>
      </c>
      <c r="I14" s="375">
        <v>8</v>
      </c>
      <c r="J14" s="366">
        <v>0.8</v>
      </c>
      <c r="K14" s="366">
        <v>0.75</v>
      </c>
      <c r="L14" s="366">
        <v>0.56000000000000005</v>
      </c>
      <c r="M14" s="351">
        <v>16</v>
      </c>
      <c r="N14" s="352">
        <v>12</v>
      </c>
      <c r="O14" s="87">
        <v>7</v>
      </c>
      <c r="Q14" s="28" t="str">
        <v>Cellkontor 8-12 kvm</v>
      </c>
      <c r="R14" s="28" t="str">
        <v>Grupprum</v>
      </c>
      <c r="S14" s="28" t="str">
        <v>Omklädning</v>
      </c>
      <c r="T14" s="28" t="str">
        <v>Vård/patientrum</v>
      </c>
    </row>
    <row r="15" spans="1:22" ht="14.45" customHeight="1" x14ac:dyDescent="0.25">
      <c r="B15" s="479"/>
      <c r="C15" s="479"/>
      <c r="D15" s="479"/>
      <c r="F15" s="31"/>
      <c r="G15" s="484"/>
      <c r="H15" s="88" t="s">
        <v>257</v>
      </c>
      <c r="I15" s="375">
        <v>10</v>
      </c>
      <c r="J15" s="366">
        <v>1</v>
      </c>
      <c r="K15" s="366">
        <v>0.9</v>
      </c>
      <c r="L15" s="366">
        <v>0.77</v>
      </c>
      <c r="M15" s="351">
        <v>25</v>
      </c>
      <c r="N15" s="352">
        <v>23</v>
      </c>
      <c r="O15" s="87">
        <v>17</v>
      </c>
      <c r="Q15" s="28" t="str">
        <v>Storkontor &gt;12 kvm</v>
      </c>
      <c r="R15" s="28" t="str">
        <v>Korridor</v>
      </c>
      <c r="S15" s="28" t="str">
        <v>Förråd</v>
      </c>
      <c r="T15" s="28" t="str">
        <v>Undersökning 500 lux</v>
      </c>
    </row>
    <row r="16" spans="1:22" ht="15" x14ac:dyDescent="0.25">
      <c r="B16" s="470"/>
      <c r="C16" s="470"/>
      <c r="D16" s="470"/>
      <c r="F16" s="31"/>
      <c r="G16" s="393">
        <v>2500</v>
      </c>
      <c r="H16" s="88" t="s">
        <v>258</v>
      </c>
      <c r="I16" s="375">
        <v>5</v>
      </c>
      <c r="J16" s="366">
        <v>1</v>
      </c>
      <c r="K16" s="366">
        <v>0.75</v>
      </c>
      <c r="L16" s="366">
        <v>0.56999999999999995</v>
      </c>
      <c r="M16" s="351">
        <v>13</v>
      </c>
      <c r="N16" s="352">
        <v>9</v>
      </c>
      <c r="O16" s="87">
        <v>5</v>
      </c>
      <c r="Q16" s="28" t="str">
        <v>Korridor</v>
      </c>
      <c r="R16" s="28" t="str">
        <v>Aula</v>
      </c>
      <c r="S16" s="28" t="str">
        <v>Kommunikationsytor &lt; 3m höjd</v>
      </c>
      <c r="T16" s="28" t="str">
        <v>Operation</v>
      </c>
    </row>
    <row r="17" spans="2:20" ht="15" x14ac:dyDescent="0.25">
      <c r="B17" s="470"/>
      <c r="C17" s="470"/>
      <c r="D17" s="470"/>
      <c r="F17" s="31"/>
      <c r="G17" s="394"/>
      <c r="H17" s="88" t="s">
        <v>259</v>
      </c>
      <c r="I17" s="375">
        <v>7</v>
      </c>
      <c r="J17" s="366">
        <v>0.7</v>
      </c>
      <c r="K17" s="366">
        <v>0.86</v>
      </c>
      <c r="L17" s="366">
        <v>0.82</v>
      </c>
      <c r="M17" s="351">
        <v>12</v>
      </c>
      <c r="N17" s="352">
        <v>11</v>
      </c>
      <c r="O17" s="87">
        <v>9</v>
      </c>
      <c r="Q17" s="28" t="str">
        <v>Pausrum större</v>
      </c>
      <c r="R17" s="28" t="str">
        <v>Uppehållsrum</v>
      </c>
      <c r="S17" s="28" t="str">
        <v>Kommunikationsytor &lt; 6m höjd</v>
      </c>
      <c r="T17" s="28" t="str">
        <v>Korridor, normal samt städning</v>
      </c>
    </row>
    <row r="18" spans="2:20" ht="15" x14ac:dyDescent="0.25">
      <c r="B18" s="477"/>
      <c r="C18" s="477"/>
      <c r="D18" s="477"/>
      <c r="F18" s="31"/>
      <c r="G18" s="394"/>
      <c r="H18" s="88" t="s">
        <v>260</v>
      </c>
      <c r="I18" s="375">
        <v>7</v>
      </c>
      <c r="J18" s="366">
        <v>0.7</v>
      </c>
      <c r="K18" s="366">
        <v>0.86</v>
      </c>
      <c r="L18" s="366">
        <v>0.74</v>
      </c>
      <c r="M18" s="351">
        <v>12</v>
      </c>
      <c r="N18" s="352">
        <v>11</v>
      </c>
      <c r="O18" s="87">
        <v>8</v>
      </c>
      <c r="Q18" s="28" t="str">
        <v>Pausrum mindre</v>
      </c>
      <c r="R18" s="28" t="str">
        <v>Matsal</v>
      </c>
      <c r="T18" s="28" t="str">
        <v>Korridor, OP-avdelning</v>
      </c>
    </row>
    <row r="19" spans="2:20" ht="15" x14ac:dyDescent="0.25">
      <c r="B19" s="477"/>
      <c r="C19" s="477"/>
      <c r="D19" s="477"/>
      <c r="F19" s="31"/>
      <c r="G19" s="394"/>
      <c r="H19" s="88" t="s">
        <v>261</v>
      </c>
      <c r="I19" s="375">
        <v>10</v>
      </c>
      <c r="J19" s="366">
        <v>0.7</v>
      </c>
      <c r="K19" s="366">
        <v>0.71</v>
      </c>
      <c r="L19" s="366">
        <v>0.77</v>
      </c>
      <c r="M19" s="351">
        <v>18</v>
      </c>
      <c r="N19" s="352">
        <v>13</v>
      </c>
      <c r="O19" s="87">
        <v>10</v>
      </c>
      <c r="Q19" s="28" t="str">
        <v>Konferensrum</v>
      </c>
      <c r="R19" s="28" t="str">
        <v>Kök</v>
      </c>
      <c r="T19" s="28" t="str">
        <v>Väntrum</v>
      </c>
    </row>
    <row r="20" spans="2:20" ht="15" x14ac:dyDescent="0.25">
      <c r="B20" s="477"/>
      <c r="C20" s="477"/>
      <c r="D20" s="477"/>
      <c r="F20" s="31"/>
      <c r="G20" s="394"/>
      <c r="H20" s="88" t="s">
        <v>262</v>
      </c>
      <c r="I20" s="375">
        <v>6</v>
      </c>
      <c r="J20" s="366">
        <v>0.3</v>
      </c>
      <c r="K20" s="366">
        <v>0.33</v>
      </c>
      <c r="L20" s="366">
        <v>1</v>
      </c>
      <c r="M20" s="351">
        <v>5</v>
      </c>
      <c r="N20" s="352">
        <v>2</v>
      </c>
      <c r="O20" s="87">
        <v>2</v>
      </c>
      <c r="Q20" s="28" t="str">
        <v>Förråd</v>
      </c>
      <c r="R20" s="28" t="str">
        <v>Kök/förråd</v>
      </c>
      <c r="T20" s="28" t="str">
        <v>Kulvert</v>
      </c>
    </row>
    <row r="21" spans="2:20" ht="15" x14ac:dyDescent="0.25">
      <c r="B21" s="477"/>
      <c r="C21" s="477"/>
      <c r="D21" s="477"/>
      <c r="F21" s="31"/>
      <c r="G21" s="394"/>
      <c r="H21" s="88" t="s">
        <v>263</v>
      </c>
      <c r="I21" s="375">
        <v>11</v>
      </c>
      <c r="J21" s="366">
        <v>0.3</v>
      </c>
      <c r="K21" s="366">
        <v>0.33</v>
      </c>
      <c r="L21" s="366">
        <v>1</v>
      </c>
      <c r="M21" s="351">
        <v>8</v>
      </c>
      <c r="N21" s="352">
        <v>3</v>
      </c>
      <c r="O21" s="87">
        <v>3</v>
      </c>
      <c r="Q21" s="28" t="str">
        <v>WC</v>
      </c>
      <c r="R21" s="28" t="str">
        <v>Personalrum &lt;30 kvm</v>
      </c>
    </row>
    <row r="22" spans="2:20" ht="15" x14ac:dyDescent="0.25">
      <c r="B22" s="477"/>
      <c r="C22" s="477"/>
      <c r="D22" s="477"/>
      <c r="F22" s="31"/>
      <c r="G22" s="394"/>
      <c r="H22" s="88" t="s">
        <v>264</v>
      </c>
      <c r="I22" s="375">
        <v>7</v>
      </c>
      <c r="J22" s="366">
        <v>1</v>
      </c>
      <c r="K22" s="366">
        <v>0.4</v>
      </c>
      <c r="L22" s="366">
        <v>1</v>
      </c>
      <c r="M22" s="351">
        <v>18</v>
      </c>
      <c r="N22" s="352">
        <v>7</v>
      </c>
      <c r="O22" s="353">
        <v>7</v>
      </c>
      <c r="Q22" s="28" t="str">
        <v>Trapphus (kontor)</v>
      </c>
    </row>
    <row r="23" spans="2:20" ht="15" x14ac:dyDescent="0.25">
      <c r="B23" s="477"/>
      <c r="C23" s="477"/>
      <c r="D23" s="477"/>
      <c r="F23" s="31"/>
      <c r="G23" s="395"/>
      <c r="H23" s="376" t="s">
        <v>265</v>
      </c>
      <c r="I23" s="377">
        <v>3</v>
      </c>
      <c r="J23" s="368">
        <v>1</v>
      </c>
      <c r="K23" s="368">
        <v>0.1</v>
      </c>
      <c r="L23" s="368">
        <v>1</v>
      </c>
      <c r="M23" s="354">
        <v>8</v>
      </c>
      <c r="N23" s="355">
        <v>1</v>
      </c>
      <c r="O23" s="356">
        <v>1</v>
      </c>
      <c r="Q23" s="28" t="str">
        <v>Garage (icke-publika kontor)</v>
      </c>
    </row>
    <row r="24" spans="2:20" ht="15" x14ac:dyDescent="0.25">
      <c r="B24" s="480"/>
      <c r="C24" s="480"/>
      <c r="D24" s="480"/>
      <c r="F24" s="31"/>
      <c r="G24" s="391" t="s">
        <v>266</v>
      </c>
      <c r="H24" s="88" t="s">
        <v>267</v>
      </c>
      <c r="I24" s="378">
        <v>10</v>
      </c>
      <c r="J24" s="366">
        <v>0.95</v>
      </c>
      <c r="K24" s="366">
        <v>0.79</v>
      </c>
      <c r="L24" s="366">
        <v>0.82</v>
      </c>
      <c r="M24" s="351">
        <v>19</v>
      </c>
      <c r="N24" s="352">
        <v>15</v>
      </c>
      <c r="O24" s="357">
        <v>12</v>
      </c>
    </row>
    <row r="25" spans="2:20" ht="14.45" customHeight="1" x14ac:dyDescent="0.25">
      <c r="B25" s="480"/>
      <c r="C25" s="480"/>
      <c r="D25" s="480"/>
      <c r="F25" s="31"/>
      <c r="G25" s="484" t="s">
        <v>268</v>
      </c>
      <c r="H25" s="88" t="s">
        <v>269</v>
      </c>
      <c r="I25" s="375">
        <v>10</v>
      </c>
      <c r="J25" s="366">
        <v>0.9</v>
      </c>
      <c r="K25" s="366">
        <v>0.89</v>
      </c>
      <c r="L25" s="366">
        <v>0.82</v>
      </c>
      <c r="M25" s="351">
        <v>18</v>
      </c>
      <c r="N25" s="352">
        <v>16</v>
      </c>
      <c r="O25" s="87">
        <v>13</v>
      </c>
    </row>
    <row r="26" spans="2:20" ht="15" x14ac:dyDescent="0.25">
      <c r="B26" s="480"/>
      <c r="C26" s="480"/>
      <c r="D26" s="480"/>
      <c r="F26" s="31"/>
      <c r="G26" s="484"/>
      <c r="H26" s="88" t="s">
        <v>258</v>
      </c>
      <c r="I26" s="375">
        <v>5</v>
      </c>
      <c r="J26" s="366">
        <v>1</v>
      </c>
      <c r="K26" s="366">
        <v>0.55000000000000004</v>
      </c>
      <c r="L26" s="366">
        <v>0.56999999999999995</v>
      </c>
      <c r="M26" s="351">
        <v>10</v>
      </c>
      <c r="N26" s="352">
        <v>6</v>
      </c>
      <c r="O26" s="87">
        <v>3</v>
      </c>
    </row>
    <row r="27" spans="2:20" ht="15" x14ac:dyDescent="0.25">
      <c r="B27" s="33"/>
      <c r="F27" s="31"/>
      <c r="G27" s="396">
        <v>2000</v>
      </c>
      <c r="H27" s="88" t="s">
        <v>270</v>
      </c>
      <c r="I27" s="375">
        <v>12</v>
      </c>
      <c r="J27" s="366">
        <v>0.8</v>
      </c>
      <c r="K27" s="366">
        <v>0.75</v>
      </c>
      <c r="L27" s="366">
        <v>0.64</v>
      </c>
      <c r="M27" s="351">
        <v>19</v>
      </c>
      <c r="N27" s="352">
        <v>14</v>
      </c>
      <c r="O27" s="87">
        <v>9</v>
      </c>
    </row>
    <row r="28" spans="2:20" ht="15" x14ac:dyDescent="0.25">
      <c r="B28" s="33"/>
      <c r="F28" s="31"/>
      <c r="G28" s="394"/>
      <c r="H28" s="88" t="s">
        <v>271</v>
      </c>
      <c r="I28" s="375">
        <v>7</v>
      </c>
      <c r="J28" s="366">
        <v>1</v>
      </c>
      <c r="K28" s="366">
        <v>0.6</v>
      </c>
      <c r="L28" s="366">
        <v>0.82</v>
      </c>
      <c r="M28" s="351">
        <v>14</v>
      </c>
      <c r="N28" s="352">
        <v>8</v>
      </c>
      <c r="O28" s="87">
        <v>7</v>
      </c>
    </row>
    <row r="29" spans="2:20" ht="15" x14ac:dyDescent="0.25">
      <c r="B29" s="33"/>
      <c r="F29" s="31"/>
      <c r="G29" s="396"/>
      <c r="H29" s="88" t="s">
        <v>272</v>
      </c>
      <c r="I29" s="375">
        <v>7</v>
      </c>
      <c r="J29" s="366">
        <v>1</v>
      </c>
      <c r="K29" s="366">
        <v>1</v>
      </c>
      <c r="L29" s="366">
        <v>0.86</v>
      </c>
      <c r="M29" s="358">
        <v>14</v>
      </c>
      <c r="N29" s="359">
        <v>14</v>
      </c>
      <c r="O29" s="360">
        <v>12.04</v>
      </c>
    </row>
    <row r="30" spans="2:20" ht="15" x14ac:dyDescent="0.25">
      <c r="B30" s="33"/>
      <c r="F30" s="31"/>
      <c r="G30" s="396"/>
      <c r="H30" s="88" t="s">
        <v>273</v>
      </c>
      <c r="I30" s="375">
        <v>9</v>
      </c>
      <c r="J30" s="366">
        <v>1</v>
      </c>
      <c r="K30" s="366">
        <v>1</v>
      </c>
      <c r="L30" s="366">
        <v>1</v>
      </c>
      <c r="M30" s="358">
        <v>18</v>
      </c>
      <c r="N30" s="359">
        <v>18</v>
      </c>
      <c r="O30" s="361">
        <v>18</v>
      </c>
    </row>
    <row r="31" spans="2:20" ht="15" x14ac:dyDescent="0.25">
      <c r="B31" s="33"/>
      <c r="F31" s="31"/>
      <c r="G31" s="394"/>
      <c r="H31" s="88" t="s">
        <v>274</v>
      </c>
      <c r="I31" s="375">
        <v>6</v>
      </c>
      <c r="J31" s="366">
        <v>0.7</v>
      </c>
      <c r="K31" s="366">
        <v>0.86</v>
      </c>
      <c r="L31" s="366">
        <v>1</v>
      </c>
      <c r="M31" s="358">
        <v>8.3999999999999986</v>
      </c>
      <c r="N31" s="359">
        <v>7.2239999999999984</v>
      </c>
      <c r="O31" s="361">
        <v>7.2239999999999984</v>
      </c>
    </row>
    <row r="32" spans="2:20" ht="15" x14ac:dyDescent="0.25">
      <c r="B32" s="33"/>
      <c r="F32" s="31"/>
      <c r="G32" s="395"/>
      <c r="H32" s="376" t="s">
        <v>275</v>
      </c>
      <c r="I32" s="375">
        <v>7</v>
      </c>
      <c r="J32" s="368">
        <v>0.7</v>
      </c>
      <c r="K32" s="368">
        <v>0.86</v>
      </c>
      <c r="L32" s="368">
        <v>0.81</v>
      </c>
      <c r="M32" s="362">
        <v>9.7999999999999989</v>
      </c>
      <c r="N32" s="363">
        <v>8.427999999999999</v>
      </c>
      <c r="O32" s="364">
        <v>6.8266799999999996</v>
      </c>
    </row>
    <row r="33" spans="2:15" ht="15" x14ac:dyDescent="0.25">
      <c r="B33" s="33"/>
      <c r="F33" s="31"/>
      <c r="G33" s="392" t="s">
        <v>276</v>
      </c>
      <c r="H33" s="88" t="s">
        <v>277</v>
      </c>
      <c r="I33" s="378">
        <v>11</v>
      </c>
      <c r="J33" s="366">
        <v>1</v>
      </c>
      <c r="K33" s="366">
        <v>0.7</v>
      </c>
      <c r="L33" s="366">
        <v>0.84</v>
      </c>
      <c r="M33" s="351">
        <v>44</v>
      </c>
      <c r="N33" s="352">
        <v>31</v>
      </c>
      <c r="O33" s="357">
        <v>26</v>
      </c>
    </row>
    <row r="34" spans="2:15" ht="15" x14ac:dyDescent="0.25">
      <c r="B34" s="33"/>
      <c r="F34" s="31"/>
      <c r="G34" s="473" t="s">
        <v>278</v>
      </c>
      <c r="H34" s="88" t="s">
        <v>279</v>
      </c>
      <c r="I34" s="375">
        <v>6</v>
      </c>
      <c r="J34" s="366">
        <v>0.7</v>
      </c>
      <c r="K34" s="366">
        <v>0.86</v>
      </c>
      <c r="L34" s="366">
        <v>1</v>
      </c>
      <c r="M34" s="351">
        <v>17</v>
      </c>
      <c r="N34" s="352">
        <v>14</v>
      </c>
      <c r="O34" s="87">
        <v>14</v>
      </c>
    </row>
    <row r="35" spans="2:15" ht="15" x14ac:dyDescent="0.25">
      <c r="F35" s="31"/>
      <c r="G35" s="474"/>
      <c r="H35" s="88" t="s">
        <v>262</v>
      </c>
      <c r="I35" s="375">
        <v>6</v>
      </c>
      <c r="J35" s="366">
        <v>0.3</v>
      </c>
      <c r="K35" s="366">
        <v>0.33</v>
      </c>
      <c r="L35" s="366">
        <v>1</v>
      </c>
      <c r="M35" s="351">
        <v>7</v>
      </c>
      <c r="N35" s="352">
        <v>2</v>
      </c>
      <c r="O35" s="87">
        <v>2</v>
      </c>
    </row>
    <row r="36" spans="2:15" ht="15" x14ac:dyDescent="0.25">
      <c r="F36" s="31"/>
      <c r="G36" s="394">
        <v>4000</v>
      </c>
      <c r="H36" s="88" t="s">
        <v>280</v>
      </c>
      <c r="I36" s="375">
        <v>8</v>
      </c>
      <c r="J36" s="366">
        <v>1</v>
      </c>
      <c r="K36" s="366">
        <v>0.75</v>
      </c>
      <c r="L36" s="366">
        <v>0.71</v>
      </c>
      <c r="M36" s="351">
        <v>32</v>
      </c>
      <c r="N36" s="352">
        <v>24</v>
      </c>
      <c r="O36" s="87">
        <v>17</v>
      </c>
    </row>
    <row r="37" spans="2:15" ht="15" x14ac:dyDescent="0.25">
      <c r="F37" s="31"/>
      <c r="G37" s="395"/>
      <c r="H37" s="376" t="s">
        <v>281</v>
      </c>
      <c r="I37" s="375">
        <v>10</v>
      </c>
      <c r="J37" s="368">
        <v>1</v>
      </c>
      <c r="K37" s="368">
        <v>0.75</v>
      </c>
      <c r="L37" s="368">
        <v>0.71</v>
      </c>
      <c r="M37" s="354">
        <v>40</v>
      </c>
      <c r="N37" s="355">
        <v>30</v>
      </c>
      <c r="O37" s="356">
        <v>21</v>
      </c>
    </row>
    <row r="38" spans="2:15" ht="15" x14ac:dyDescent="0.25">
      <c r="F38" s="31"/>
      <c r="G38" s="392" t="s">
        <v>282</v>
      </c>
      <c r="H38" s="88" t="s">
        <v>283</v>
      </c>
      <c r="I38" s="378">
        <v>18</v>
      </c>
      <c r="J38" s="366">
        <v>1</v>
      </c>
      <c r="K38" s="366">
        <v>0.64</v>
      </c>
      <c r="L38" s="366">
        <v>0.9</v>
      </c>
      <c r="M38" s="365">
        <v>90</v>
      </c>
      <c r="N38" s="366">
        <v>58</v>
      </c>
      <c r="O38" s="357">
        <v>52</v>
      </c>
    </row>
    <row r="39" spans="2:15" ht="15" x14ac:dyDescent="0.25">
      <c r="F39" s="31"/>
      <c r="G39" s="473" t="s">
        <v>284</v>
      </c>
      <c r="H39" s="88" t="s">
        <v>285</v>
      </c>
      <c r="I39" s="375">
        <v>9</v>
      </c>
      <c r="J39" s="366">
        <v>1</v>
      </c>
      <c r="K39" s="366">
        <v>1</v>
      </c>
      <c r="L39" s="366">
        <v>0.75</v>
      </c>
      <c r="M39" s="365">
        <v>45</v>
      </c>
      <c r="N39" s="366">
        <v>45</v>
      </c>
      <c r="O39" s="87">
        <v>34</v>
      </c>
    </row>
    <row r="40" spans="2:15" ht="15" x14ac:dyDescent="0.25">
      <c r="F40" s="31"/>
      <c r="G40" s="474"/>
      <c r="H40" s="88" t="s">
        <v>286</v>
      </c>
      <c r="I40" s="375">
        <v>12</v>
      </c>
      <c r="J40" s="366">
        <v>0.8</v>
      </c>
      <c r="K40" s="366">
        <v>0.88</v>
      </c>
      <c r="L40" s="366">
        <v>0.75</v>
      </c>
      <c r="M40" s="365">
        <v>48</v>
      </c>
      <c r="N40" s="366">
        <v>42</v>
      </c>
      <c r="O40" s="87">
        <v>31</v>
      </c>
    </row>
    <row r="41" spans="2:15" ht="15" x14ac:dyDescent="0.25">
      <c r="F41" s="31"/>
      <c r="G41" s="394">
        <v>5000</v>
      </c>
      <c r="H41" s="88" t="s">
        <v>287</v>
      </c>
      <c r="I41" s="375">
        <v>17</v>
      </c>
      <c r="J41" s="366">
        <v>1</v>
      </c>
      <c r="K41" s="366">
        <v>1</v>
      </c>
      <c r="L41" s="366">
        <v>1</v>
      </c>
      <c r="M41" s="365">
        <v>85</v>
      </c>
      <c r="N41" s="366">
        <v>85</v>
      </c>
      <c r="O41" s="87">
        <v>85</v>
      </c>
    </row>
    <row r="42" spans="2:15" ht="15" x14ac:dyDescent="0.25">
      <c r="F42" s="31"/>
      <c r="G42" s="394"/>
      <c r="H42" s="88" t="s">
        <v>288</v>
      </c>
      <c r="I42" s="375">
        <v>5</v>
      </c>
      <c r="J42" s="366">
        <v>1</v>
      </c>
      <c r="K42" s="366">
        <v>1</v>
      </c>
      <c r="L42" s="366">
        <v>1</v>
      </c>
      <c r="M42" s="365">
        <v>25</v>
      </c>
      <c r="N42" s="366">
        <v>25</v>
      </c>
      <c r="O42" s="87">
        <v>25</v>
      </c>
    </row>
    <row r="43" spans="2:15" ht="15" x14ac:dyDescent="0.25">
      <c r="F43" s="31"/>
      <c r="G43" s="394"/>
      <c r="H43" s="379" t="s">
        <v>289</v>
      </c>
      <c r="I43" s="375">
        <v>10</v>
      </c>
      <c r="J43" s="366">
        <v>1</v>
      </c>
      <c r="K43" s="366">
        <v>1</v>
      </c>
      <c r="L43" s="366">
        <v>1</v>
      </c>
      <c r="M43" s="365">
        <v>50</v>
      </c>
      <c r="N43" s="366">
        <v>50</v>
      </c>
      <c r="O43" s="87">
        <v>50</v>
      </c>
    </row>
    <row r="44" spans="2:15" ht="15" x14ac:dyDescent="0.25">
      <c r="F44" s="31"/>
      <c r="G44" s="394"/>
      <c r="H44" s="88" t="s">
        <v>290</v>
      </c>
      <c r="I44" s="380">
        <v>7</v>
      </c>
      <c r="J44" s="366">
        <v>1</v>
      </c>
      <c r="K44" s="366">
        <v>1</v>
      </c>
      <c r="L44" s="366">
        <v>1</v>
      </c>
      <c r="M44" s="365">
        <v>35</v>
      </c>
      <c r="N44" s="366">
        <v>35</v>
      </c>
      <c r="O44" s="87">
        <v>35</v>
      </c>
    </row>
    <row r="45" spans="2:15" ht="15" x14ac:dyDescent="0.25">
      <c r="F45" s="31"/>
      <c r="G45" s="395"/>
      <c r="H45" s="376" t="s">
        <v>291</v>
      </c>
      <c r="I45" s="377">
        <v>5</v>
      </c>
      <c r="J45" s="368">
        <v>1</v>
      </c>
      <c r="K45" s="368">
        <v>0.45</v>
      </c>
      <c r="L45" s="368">
        <v>0.9</v>
      </c>
      <c r="M45" s="367">
        <v>25</v>
      </c>
      <c r="N45" s="368">
        <v>11</v>
      </c>
      <c r="O45" s="356">
        <v>10</v>
      </c>
    </row>
    <row r="46" spans="2:15" ht="15" x14ac:dyDescent="0.25">
      <c r="F46" s="31"/>
      <c r="G46" s="381" t="s">
        <v>292</v>
      </c>
      <c r="H46" s="88"/>
      <c r="J46" s="382"/>
      <c r="K46" s="88"/>
      <c r="L46" s="383"/>
      <c r="M46" s="89"/>
      <c r="N46" s="89"/>
      <c r="O46" s="90"/>
    </row>
    <row r="47" spans="2:15" x14ac:dyDescent="0.2">
      <c r="F47" s="31"/>
    </row>
    <row r="48" spans="2:15" x14ac:dyDescent="0.2">
      <c r="F48" s="31"/>
    </row>
    <row r="49" spans="6:6" x14ac:dyDescent="0.2">
      <c r="F49" s="31"/>
    </row>
    <row r="50" spans="6:6" x14ac:dyDescent="0.2">
      <c r="F50" s="31"/>
    </row>
    <row r="51" spans="6:6" x14ac:dyDescent="0.2">
      <c r="F51" s="31"/>
    </row>
    <row r="52" spans="6:6" x14ac:dyDescent="0.2">
      <c r="F52" s="31"/>
    </row>
    <row r="53" spans="6:6" x14ac:dyDescent="0.2">
      <c r="F53" s="31"/>
    </row>
  </sheetData>
  <sheetProtection algorithmName="SHA-512" hashValue="NfIe2NTmvrVy3LxkP8AQnQCdOF6yS9YqUWrKvNX+pKfLQXS55DXaAZK8eQyuCcGG5Eo5hmjlUQviCk4Hl9/SjQ==" saltValue="yq/kvRpt98p71UGv3SQB8g==" spinCount="100000" sheet="1" objects="1" scenarios="1"/>
  <mergeCells count="11">
    <mergeCell ref="G34:G35"/>
    <mergeCell ref="G39:G40"/>
    <mergeCell ref="D6:F6"/>
    <mergeCell ref="G6:H6"/>
    <mergeCell ref="S6:V6"/>
    <mergeCell ref="G9:O9"/>
    <mergeCell ref="B10:D26"/>
    <mergeCell ref="M11:O11"/>
    <mergeCell ref="G14:G15"/>
    <mergeCell ref="G25:G26"/>
    <mergeCell ref="Q11:T11"/>
  </mergeCells>
  <pageMargins left="0.7" right="0.7" top="0.75" bottom="0.75" header="0.3" footer="0.3"/>
  <pageSetup paperSize="9" orientation="portrait" verticalDpi="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9">
    <tabColor rgb="FF6B2879"/>
  </sheetPr>
  <dimension ref="A1:S34"/>
  <sheetViews>
    <sheetView topLeftCell="A6" workbookViewId="0"/>
  </sheetViews>
  <sheetFormatPr defaultColWidth="9.140625" defaultRowHeight="12.75" x14ac:dyDescent="0.2"/>
  <cols>
    <col min="1" max="6" width="8.42578125" style="13" customWidth="1"/>
    <col min="7" max="7" width="24.5703125" style="13" customWidth="1"/>
    <col min="8" max="8" width="31" style="13" customWidth="1"/>
    <col min="9" max="9" width="41.85546875" style="13" customWidth="1"/>
    <col min="10" max="20" width="31" style="13" customWidth="1"/>
    <col min="21" max="39" width="8.42578125" style="13" customWidth="1"/>
    <col min="40" max="16384" width="9.140625" style="13"/>
  </cols>
  <sheetData>
    <row r="1" spans="1:19" x14ac:dyDescent="0.2">
      <c r="A1" s="337" t="s">
        <v>0</v>
      </c>
    </row>
    <row r="2" spans="1:19" ht="33.75" x14ac:dyDescent="0.5">
      <c r="G2" s="1" t="s">
        <v>1</v>
      </c>
    </row>
    <row r="3" spans="1:19" x14ac:dyDescent="0.2">
      <c r="G3" s="28" t="str">
        <f>'1. Introduktion'!G3</f>
        <v>Version 3.0</v>
      </c>
    </row>
    <row r="4" spans="1:19" x14ac:dyDescent="0.2">
      <c r="G4" s="28" t="str">
        <f>'1. Introduktion'!G4</f>
        <v>Datum: 2024-12-17</v>
      </c>
      <c r="I4" s="28"/>
    </row>
    <row r="6" spans="1:19" s="6" customFormat="1" ht="41.25" customHeight="1" x14ac:dyDescent="0.35">
      <c r="B6" s="5"/>
      <c r="C6" s="5"/>
      <c r="D6" s="428"/>
      <c r="E6" s="428"/>
      <c r="F6" s="428"/>
      <c r="G6" s="428"/>
      <c r="H6" s="428"/>
      <c r="I6" s="9"/>
      <c r="J6" s="2"/>
      <c r="K6" s="2"/>
      <c r="P6" s="487"/>
      <c r="Q6" s="487"/>
      <c r="R6" s="487"/>
      <c r="S6" s="487"/>
    </row>
    <row r="9" spans="1:19" ht="23.25" x14ac:dyDescent="0.35">
      <c r="B9" s="36" t="s">
        <v>135</v>
      </c>
      <c r="C9" s="36"/>
      <c r="D9" s="36"/>
      <c r="E9" s="36"/>
    </row>
    <row r="10" spans="1:19" ht="33.75" customHeight="1" x14ac:dyDescent="0.35">
      <c r="B10" s="36"/>
      <c r="C10" s="36"/>
      <c r="D10" s="36"/>
      <c r="E10" s="36"/>
      <c r="G10" s="488" t="s">
        <v>293</v>
      </c>
      <c r="H10" s="489"/>
      <c r="I10" s="342" t="s">
        <v>294</v>
      </c>
      <c r="J10" s="37"/>
      <c r="K10" s="37"/>
    </row>
    <row r="11" spans="1:19" ht="15" x14ac:dyDescent="0.25">
      <c r="B11" s="490" t="s">
        <v>295</v>
      </c>
      <c r="C11" s="479"/>
      <c r="D11" s="479"/>
      <c r="E11" s="491"/>
      <c r="F11" s="38"/>
      <c r="G11" s="387" t="s">
        <v>296</v>
      </c>
      <c r="H11" s="388">
        <v>0.09</v>
      </c>
      <c r="I11" s="389" t="s">
        <v>297</v>
      </c>
    </row>
    <row r="12" spans="1:19" ht="15" x14ac:dyDescent="0.25">
      <c r="B12" s="479"/>
      <c r="C12" s="479"/>
      <c r="D12" s="479"/>
      <c r="E12" s="491"/>
      <c r="F12" s="38"/>
      <c r="G12" s="387" t="s">
        <v>298</v>
      </c>
      <c r="H12" s="388">
        <v>3.6999999999999998E-2</v>
      </c>
      <c r="I12" s="389" t="s">
        <v>299</v>
      </c>
    </row>
    <row r="13" spans="1:19" ht="15" x14ac:dyDescent="0.25">
      <c r="B13" s="479"/>
      <c r="C13" s="479"/>
      <c r="D13" s="479"/>
      <c r="E13" s="491"/>
      <c r="F13" s="38"/>
      <c r="G13" s="387" t="s">
        <v>300</v>
      </c>
      <c r="H13" s="390">
        <v>0</v>
      </c>
      <c r="I13" s="389"/>
    </row>
    <row r="14" spans="1:19" ht="15" x14ac:dyDescent="0.25">
      <c r="B14" s="470"/>
      <c r="C14" s="470"/>
      <c r="D14" s="470"/>
      <c r="E14" s="492"/>
      <c r="F14" s="38"/>
      <c r="G14" s="387" t="s">
        <v>301</v>
      </c>
      <c r="H14" s="388">
        <v>0.52400000000000002</v>
      </c>
      <c r="I14" s="389" t="s">
        <v>302</v>
      </c>
      <c r="J14" s="42"/>
      <c r="K14" s="42"/>
    </row>
    <row r="15" spans="1:19" ht="16.350000000000001" customHeight="1" x14ac:dyDescent="0.25">
      <c r="B15" s="417" t="s">
        <v>303</v>
      </c>
      <c r="C15" s="417"/>
      <c r="D15" s="417"/>
      <c r="E15" s="493"/>
      <c r="F15" s="38"/>
      <c r="G15" s="387" t="s">
        <v>304</v>
      </c>
      <c r="H15" s="388">
        <v>0.26500000000000001</v>
      </c>
      <c r="I15" s="389" t="s">
        <v>305</v>
      </c>
      <c r="J15" s="42"/>
      <c r="K15" s="42"/>
    </row>
    <row r="16" spans="1:19" ht="16.350000000000001" customHeight="1" x14ac:dyDescent="0.25">
      <c r="B16" s="417"/>
      <c r="C16" s="417"/>
      <c r="D16" s="417"/>
      <c r="E16" s="493"/>
      <c r="F16" s="38"/>
      <c r="G16" s="387"/>
      <c r="H16" s="388"/>
      <c r="I16" s="388"/>
      <c r="J16" s="42"/>
      <c r="K16" s="42"/>
    </row>
    <row r="17" spans="2:11" ht="64.5" customHeight="1" x14ac:dyDescent="0.2">
      <c r="B17" s="417"/>
      <c r="C17" s="417"/>
      <c r="D17" s="417"/>
      <c r="E17" s="493"/>
      <c r="F17" s="38"/>
      <c r="G17" s="494" t="s">
        <v>306</v>
      </c>
      <c r="H17" s="494"/>
      <c r="I17" s="494"/>
      <c r="J17" s="42"/>
      <c r="K17" s="42"/>
    </row>
    <row r="18" spans="2:11" ht="14.1" customHeight="1" x14ac:dyDescent="0.2">
      <c r="B18" s="417"/>
      <c r="C18" s="417"/>
      <c r="D18" s="417"/>
      <c r="E18" s="493"/>
      <c r="F18" s="38"/>
      <c r="G18" s="495" t="s">
        <v>307</v>
      </c>
      <c r="H18" s="495"/>
      <c r="I18" s="495"/>
      <c r="J18" s="42"/>
      <c r="K18" s="42"/>
    </row>
    <row r="19" spans="2:11" ht="43.5" customHeight="1" x14ac:dyDescent="0.2">
      <c r="B19" s="32"/>
      <c r="F19" s="38"/>
      <c r="G19" s="40"/>
      <c r="H19" s="43"/>
      <c r="I19" s="415"/>
      <c r="J19" s="415"/>
      <c r="K19" s="415"/>
    </row>
    <row r="20" spans="2:11" ht="43.5" customHeight="1" x14ac:dyDescent="0.2">
      <c r="B20" s="32"/>
      <c r="F20" s="38"/>
      <c r="G20" s="40"/>
      <c r="H20" s="43"/>
      <c r="I20" s="422"/>
      <c r="J20" s="422"/>
      <c r="K20" s="422"/>
    </row>
    <row r="21" spans="2:11" ht="69.75" customHeight="1" x14ac:dyDescent="0.2">
      <c r="B21" s="32"/>
      <c r="F21" s="38"/>
      <c r="G21" s="40"/>
      <c r="H21" s="43"/>
      <c r="I21" s="415"/>
      <c r="J21" s="415"/>
      <c r="K21" s="415"/>
    </row>
    <row r="22" spans="2:11" ht="43.5" customHeight="1" x14ac:dyDescent="0.2">
      <c r="B22" s="32"/>
      <c r="F22" s="38"/>
      <c r="G22" s="40"/>
      <c r="H22" s="43"/>
      <c r="I22" s="422"/>
      <c r="J22" s="422"/>
      <c r="K22" s="422"/>
    </row>
    <row r="23" spans="2:11" ht="43.5" customHeight="1" x14ac:dyDescent="0.2">
      <c r="B23" s="32"/>
      <c r="F23" s="38"/>
      <c r="G23" s="40"/>
      <c r="H23" s="43"/>
      <c r="I23" s="422"/>
      <c r="J23" s="422"/>
      <c r="K23" s="422"/>
    </row>
    <row r="24" spans="2:11" ht="66" customHeight="1" x14ac:dyDescent="0.2">
      <c r="B24" s="32"/>
      <c r="F24" s="38"/>
      <c r="G24" s="44"/>
      <c r="H24" s="43"/>
      <c r="I24" s="415"/>
      <c r="J24" s="415"/>
      <c r="K24" s="415"/>
    </row>
    <row r="25" spans="2:11" ht="43.5" customHeight="1" x14ac:dyDescent="0.2">
      <c r="B25" s="32"/>
      <c r="F25" s="38"/>
      <c r="G25" s="40"/>
      <c r="H25" s="43"/>
      <c r="I25" s="415"/>
      <c r="J25" s="415"/>
      <c r="K25" s="415"/>
    </row>
    <row r="26" spans="2:11" ht="60.75" customHeight="1" x14ac:dyDescent="0.2">
      <c r="B26" s="32"/>
      <c r="F26" s="38"/>
      <c r="G26" s="40"/>
      <c r="H26" s="43"/>
      <c r="I26" s="422"/>
      <c r="J26" s="422"/>
      <c r="K26" s="422"/>
    </row>
    <row r="27" spans="2:11" x14ac:dyDescent="0.2">
      <c r="B27" s="32"/>
      <c r="F27" s="38"/>
      <c r="G27" s="45"/>
      <c r="H27" s="43"/>
      <c r="I27" s="42"/>
      <c r="J27" s="42"/>
      <c r="K27" s="42"/>
    </row>
    <row r="28" spans="2:11" ht="100.5" customHeight="1" x14ac:dyDescent="0.2">
      <c r="B28" s="32"/>
      <c r="F28" s="38"/>
      <c r="G28" s="46"/>
      <c r="H28" s="44"/>
      <c r="I28" s="422"/>
      <c r="J28" s="422"/>
      <c r="K28" s="422"/>
    </row>
    <row r="29" spans="2:11" ht="15" x14ac:dyDescent="0.25">
      <c r="F29" s="38"/>
      <c r="G29" s="47"/>
      <c r="H29" s="48"/>
      <c r="I29" s="49"/>
      <c r="J29" s="49"/>
      <c r="K29" s="49"/>
    </row>
    <row r="30" spans="2:11" x14ac:dyDescent="0.2">
      <c r="G30" s="40"/>
      <c r="H30" s="50"/>
      <c r="I30" s="486"/>
      <c r="J30" s="486"/>
      <c r="K30" s="486"/>
    </row>
    <row r="31" spans="2:11" x14ac:dyDescent="0.2">
      <c r="G31" s="40"/>
      <c r="H31" s="50"/>
      <c r="I31" s="486"/>
      <c r="J31" s="486"/>
      <c r="K31" s="486"/>
    </row>
    <row r="32" spans="2:11" ht="45.75" customHeight="1" x14ac:dyDescent="0.2">
      <c r="G32" s="51"/>
      <c r="H32" s="41"/>
      <c r="I32" s="422"/>
      <c r="J32" s="422"/>
      <c r="K32" s="422"/>
    </row>
    <row r="33" spans="7:11" ht="76.5" customHeight="1" x14ac:dyDescent="0.2">
      <c r="G33" s="40"/>
      <c r="H33" s="43"/>
      <c r="I33" s="422"/>
      <c r="J33" s="422"/>
      <c r="K33" s="422"/>
    </row>
    <row r="34" spans="7:11" ht="63.75" customHeight="1" x14ac:dyDescent="0.2">
      <c r="G34" s="40"/>
      <c r="H34" s="42"/>
      <c r="I34" s="422"/>
      <c r="J34" s="422"/>
      <c r="K34" s="422"/>
    </row>
  </sheetData>
  <sheetProtection algorithmName="SHA-512" hashValue="ZQnx4cbhipkmsCI8+YmayASDxlGH0tG/4dVkSTU9aWRZhfZzmLmPuG7J0LXudPjean0nSsLQUaXOs7LL5clKQQ==" saltValue="H0QEB8jL3ofhIWmVpiQ+xA==" spinCount="100000" sheet="1" objects="1" scenarios="1"/>
  <mergeCells count="22">
    <mergeCell ref="P6:S6"/>
    <mergeCell ref="G10:H10"/>
    <mergeCell ref="B11:E14"/>
    <mergeCell ref="I22:K22"/>
    <mergeCell ref="D6:F6"/>
    <mergeCell ref="G6:H6"/>
    <mergeCell ref="B15:E18"/>
    <mergeCell ref="G17:I17"/>
    <mergeCell ref="G18:I18"/>
    <mergeCell ref="I23:K23"/>
    <mergeCell ref="I19:K19"/>
    <mergeCell ref="I20:K20"/>
    <mergeCell ref="I21:K21"/>
    <mergeCell ref="I34:K34"/>
    <mergeCell ref="I24:K24"/>
    <mergeCell ref="I25:K25"/>
    <mergeCell ref="I26:K26"/>
    <mergeCell ref="I28:K28"/>
    <mergeCell ref="I30:K30"/>
    <mergeCell ref="I31:K31"/>
    <mergeCell ref="I32:K32"/>
    <mergeCell ref="I33:K33"/>
  </mergeCells>
  <hyperlinks>
    <hyperlink ref="I11" r:id="rId1" xr:uid="{11195F75-A483-4EBD-A206-48B0A29C339E}"/>
    <hyperlink ref="I12" r:id="rId2" xr:uid="{0348AEE4-15CB-43E1-92E9-AECA5930DA1F}"/>
    <hyperlink ref="I14" r:id="rId3" display="https://eur02.safelinks.protection.outlook.com/?url=https%3A%2F%2Fei.se%2Fbransch%2Fursprungsmarkning-av-el%2Fresidualmix&amp;data=05%7C02%7Cemma.karlsson%40wsp.com%7C1538c83fc5dc43b3ad7d08dcf36e6fb2%7C3d234255e20f420588a59658a402999b%7C1%7C0%7C638652902846330502%7CUnknown%7CTWFpbGZsb3d8eyJWIjoiMC4wLjAwMDAiLCJQIjoiV2luMzIiLCJBTiI6Ik1haWwiLCJXVCI6Mn0%3D%7C0%7C%7C%7C&amp;sdata=oa8c10bmbziwiJcIEUo5YolYIMSfOUJemQT1dvxMMXA%3D&amp;reserved=0" xr:uid="{957F8679-2828-432D-BF08-BF6908C7DC56}"/>
    <hyperlink ref="I15" r:id="rId4" display="https://eur02.safelinks.protection.outlook.com/?url=https%3A%2F%2Fwww.eea.europa.eu%2Fen%2Fanalysis%2Findicators%2Fgreenhouse-gas-emission-intensity-of-1&amp;data=05%7C02%7Cemma.karlsson%40wsp.com%7C1538c83fc5dc43b3ad7d08dcf36e6fb2%7C3d234255e20f420588a59658a402999b%7C1%7C0%7C638652902846344004%7CUnknown%7CTWFpbGZsb3d8eyJWIjoiMC4wLjAwMDAiLCJQIjoiV2luMzIiLCJBTiI6Ik1haWwiLCJXVCI6Mn0%3D%7C0%7C%7C%7C&amp;sdata=mhCt8fxAHqgfx4kn%2BJr7TyOanPrPyqq5yzeqp%2FjdB28%3D&amp;reserved=0" xr:uid="{B3986E70-E4DD-4676-80BC-BE2448BF2ACC}"/>
    <hyperlink ref="G18:I18" r:id="rId5" display="Anvisningar för LCA-beräkning av byggprojekt, IVL (Version 2024-06)" xr:uid="{B28A6D55-6329-4C20-8ACB-BA05BAF45B64}"/>
  </hyperlinks>
  <pageMargins left="0.7" right="0.7" top="0.75" bottom="0.75" header="0.3" footer="0.3"/>
  <pageSetup paperSize="9" orientation="portrait" verticalDpi="0" r:id="rId6"/>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1B770-4543-4CD7-BFE2-4B0803B5FBE7}">
  <sheetPr codeName="Blad13">
    <tabColor rgb="FF6B2879"/>
    <pageSetUpPr fitToPage="1"/>
  </sheetPr>
  <dimension ref="A1:W50"/>
  <sheetViews>
    <sheetView workbookViewId="0"/>
  </sheetViews>
  <sheetFormatPr defaultColWidth="9.140625" defaultRowHeight="12.75" x14ac:dyDescent="0.2"/>
  <cols>
    <col min="1" max="23" width="8.42578125" style="13" customWidth="1"/>
    <col min="24" max="16384" width="9.140625" style="13"/>
  </cols>
  <sheetData>
    <row r="1" spans="1:23" ht="17.25" customHeight="1" x14ac:dyDescent="0.2">
      <c r="A1" s="337" t="s">
        <v>0</v>
      </c>
    </row>
    <row r="2" spans="1:23" ht="33.75" x14ac:dyDescent="0.5">
      <c r="G2" s="97" t="s">
        <v>1</v>
      </c>
    </row>
    <row r="3" spans="1:23" x14ac:dyDescent="0.2">
      <c r="G3" s="28" t="str">
        <f>'1. Introduktion'!G3</f>
        <v>Version 3.0</v>
      </c>
    </row>
    <row r="4" spans="1:23" ht="15" customHeight="1" x14ac:dyDescent="0.2">
      <c r="G4" s="28" t="str">
        <f>'1. Introduktion'!G4</f>
        <v>Datum: 2024-12-17</v>
      </c>
      <c r="I4" s="28"/>
    </row>
    <row r="6" spans="1:23" s="6" customFormat="1" ht="41.25" customHeight="1" x14ac:dyDescent="0.35">
      <c r="B6" s="428"/>
      <c r="C6" s="428"/>
      <c r="D6" s="428"/>
      <c r="E6" s="428"/>
      <c r="F6" s="428"/>
      <c r="G6" s="428"/>
      <c r="H6" s="428"/>
      <c r="I6" s="428"/>
      <c r="J6" s="428"/>
      <c r="K6" s="428"/>
      <c r="L6" s="428"/>
      <c r="M6" s="428"/>
      <c r="N6" s="428"/>
      <c r="O6" s="428"/>
      <c r="P6" s="428"/>
      <c r="Q6" s="428"/>
      <c r="R6" s="428"/>
      <c r="S6" s="428"/>
      <c r="T6" s="428"/>
      <c r="U6" s="428"/>
      <c r="V6" s="428"/>
      <c r="W6" s="428"/>
    </row>
    <row r="9" spans="1:23" ht="21" x14ac:dyDescent="0.35">
      <c r="B9" s="14" t="s">
        <v>308</v>
      </c>
      <c r="S9" s="13" t="s">
        <v>309</v>
      </c>
    </row>
    <row r="10" spans="1:23" x14ac:dyDescent="0.2">
      <c r="B10" s="502" t="s">
        <v>310</v>
      </c>
      <c r="C10" s="502"/>
      <c r="D10" s="503" t="str">
        <f>'2. LCC A1'!F11</f>
        <v>Projektnamn</v>
      </c>
      <c r="E10" s="503"/>
      <c r="F10" s="503"/>
      <c r="G10" s="503"/>
      <c r="H10" s="503"/>
      <c r="I10" s="503"/>
      <c r="J10" s="503"/>
    </row>
    <row r="11" spans="1:23" x14ac:dyDescent="0.2">
      <c r="B11" s="502" t="s">
        <v>311</v>
      </c>
      <c r="C11" s="502"/>
      <c r="D11" s="504" t="str">
        <f>'2. LCC A1'!F12</f>
        <v>ÅÅÅÅ-MM-DD</v>
      </c>
      <c r="E11" s="503"/>
      <c r="F11" s="503"/>
      <c r="G11" s="503"/>
      <c r="H11" s="503"/>
      <c r="I11" s="503"/>
      <c r="J11" s="503"/>
    </row>
    <row r="12" spans="1:23" x14ac:dyDescent="0.2">
      <c r="B12" s="502" t="s">
        <v>312</v>
      </c>
      <c r="C12" s="502"/>
      <c r="D12" s="503" t="str">
        <f>'2. LCC A1'!F13</f>
        <v>Namn</v>
      </c>
      <c r="E12" s="503"/>
      <c r="F12" s="503"/>
      <c r="G12" s="503"/>
      <c r="H12" s="503"/>
      <c r="I12" s="503"/>
      <c r="J12" s="503"/>
    </row>
    <row r="13" spans="1:23" ht="14.25" customHeight="1" x14ac:dyDescent="0.35">
      <c r="I13" s="14"/>
      <c r="J13" s="14"/>
    </row>
    <row r="14" spans="1:23" ht="15.75" x14ac:dyDescent="0.25">
      <c r="B14" s="505" t="s">
        <v>313</v>
      </c>
      <c r="C14" s="505"/>
      <c r="D14" s="505"/>
      <c r="E14" s="15">
        <f>'2. LCC A1'!H15</f>
        <v>0</v>
      </c>
      <c r="F14" s="15"/>
      <c r="G14" s="16" t="s">
        <v>36</v>
      </c>
      <c r="I14" s="16" t="s">
        <v>38</v>
      </c>
      <c r="J14" s="17"/>
      <c r="K14" s="98">
        <f>'2. LCC A1'!H16</f>
        <v>0.05</v>
      </c>
      <c r="M14" s="65" t="s">
        <v>314</v>
      </c>
    </row>
    <row r="15" spans="1:23" ht="21" x14ac:dyDescent="0.35">
      <c r="B15" s="14"/>
      <c r="G15" s="14"/>
      <c r="H15" s="14"/>
      <c r="I15" s="14"/>
      <c r="J15" s="14"/>
    </row>
    <row r="16" spans="1:23" ht="15" x14ac:dyDescent="0.25">
      <c r="B16" s="20" t="s">
        <v>315</v>
      </c>
      <c r="C16" s="19"/>
      <c r="D16" s="19"/>
      <c r="E16" s="20"/>
      <c r="F16" s="20"/>
      <c r="G16" s="500" t="s">
        <v>316</v>
      </c>
      <c r="H16" s="500"/>
      <c r="I16" s="500"/>
      <c r="J16" s="500" t="s">
        <v>317</v>
      </c>
      <c r="K16" s="500"/>
      <c r="L16" s="500"/>
      <c r="M16" s="500" t="s">
        <v>318</v>
      </c>
      <c r="N16" s="500"/>
      <c r="O16" s="500"/>
      <c r="P16" s="500" t="s">
        <v>319</v>
      </c>
      <c r="Q16" s="500"/>
      <c r="R16" s="500"/>
      <c r="S16" s="496"/>
      <c r="T16" s="496"/>
      <c r="U16" s="496"/>
      <c r="V16" s="99"/>
      <c r="W16" s="29"/>
    </row>
    <row r="17" spans="2:23" ht="14.25" customHeight="1" x14ac:dyDescent="0.25">
      <c r="B17" s="16" t="s">
        <v>139</v>
      </c>
      <c r="C17" s="16"/>
      <c r="D17" s="16"/>
      <c r="E17" s="18"/>
      <c r="F17" s="18"/>
      <c r="G17" s="497">
        <f>'2. LCC A1'!I181</f>
        <v>0</v>
      </c>
      <c r="H17" s="497"/>
      <c r="I17" s="497"/>
      <c r="J17" s="497">
        <f>'2. LCC A2'!I181</f>
        <v>0</v>
      </c>
      <c r="K17" s="497"/>
      <c r="L17" s="497"/>
      <c r="M17" s="497">
        <f>'2. LCC A3'!I181</f>
        <v>0</v>
      </c>
      <c r="N17" s="497"/>
      <c r="O17" s="497"/>
      <c r="P17" s="497">
        <f>'2. LCC A4'!I181</f>
        <v>0</v>
      </c>
      <c r="Q17" s="497"/>
      <c r="R17" s="497"/>
      <c r="S17" s="497"/>
      <c r="T17" s="497"/>
      <c r="U17" s="497"/>
      <c r="V17" s="99"/>
      <c r="W17" s="64"/>
    </row>
    <row r="18" spans="2:23" ht="14.25" customHeight="1" x14ac:dyDescent="0.25">
      <c r="B18" s="16" t="s">
        <v>320</v>
      </c>
      <c r="C18" s="16"/>
      <c r="D18" s="16"/>
      <c r="E18" s="18"/>
      <c r="F18" s="18"/>
      <c r="G18" s="497">
        <f>'2. LCC A1'!I202</f>
        <v>0</v>
      </c>
      <c r="H18" s="497"/>
      <c r="I18" s="497"/>
      <c r="J18" s="497">
        <f>'2. LCC A2'!I202</f>
        <v>0</v>
      </c>
      <c r="K18" s="497"/>
      <c r="L18" s="497"/>
      <c r="M18" s="497">
        <f>'2. LCC A3'!I202</f>
        <v>0</v>
      </c>
      <c r="N18" s="497"/>
      <c r="O18" s="497"/>
      <c r="P18" s="497">
        <f>'2. LCC A4'!I202</f>
        <v>0</v>
      </c>
      <c r="Q18" s="497"/>
      <c r="R18" s="497"/>
      <c r="S18" s="497"/>
      <c r="T18" s="497"/>
      <c r="U18" s="497"/>
      <c r="V18" s="99"/>
      <c r="W18" s="64"/>
    </row>
    <row r="19" spans="2:23" ht="14.25" customHeight="1" x14ac:dyDescent="0.25">
      <c r="B19" s="19" t="s">
        <v>105</v>
      </c>
      <c r="C19" s="21"/>
      <c r="D19" s="21"/>
      <c r="E19" s="20"/>
      <c r="F19" s="20"/>
      <c r="G19" s="501">
        <f>'2. LCC A1'!I218</f>
        <v>0</v>
      </c>
      <c r="H19" s="501"/>
      <c r="I19" s="501"/>
      <c r="J19" s="501">
        <f>'2. LCC A2'!I218</f>
        <v>0</v>
      </c>
      <c r="K19" s="501"/>
      <c r="L19" s="501"/>
      <c r="M19" s="501">
        <f>'2. LCC A3'!I218</f>
        <v>0</v>
      </c>
      <c r="N19" s="501"/>
      <c r="O19" s="501"/>
      <c r="P19" s="501">
        <f>'2. LCC A4'!I218</f>
        <v>0</v>
      </c>
      <c r="Q19" s="501"/>
      <c r="R19" s="501"/>
      <c r="S19" s="497"/>
      <c r="T19" s="497"/>
      <c r="U19" s="497"/>
      <c r="V19" s="99"/>
      <c r="W19" s="100"/>
    </row>
    <row r="20" spans="2:23" ht="15" x14ac:dyDescent="0.25">
      <c r="B20" s="18" t="s">
        <v>321</v>
      </c>
      <c r="C20" s="16"/>
      <c r="D20" s="16"/>
      <c r="E20" s="18"/>
      <c r="F20" s="18"/>
      <c r="G20" s="497">
        <f>SUM(G17:I19)</f>
        <v>0</v>
      </c>
      <c r="H20" s="497"/>
      <c r="I20" s="497"/>
      <c r="J20" s="497">
        <f t="shared" ref="J20" si="0">SUM(J17:L19)</f>
        <v>0</v>
      </c>
      <c r="K20" s="497"/>
      <c r="L20" s="497"/>
      <c r="M20" s="497">
        <f t="shared" ref="M20" si="1">SUM(M17:O19)</f>
        <v>0</v>
      </c>
      <c r="N20" s="497"/>
      <c r="O20" s="497"/>
      <c r="P20" s="497">
        <f t="shared" ref="P20" si="2">SUM(P17:R19)</f>
        <v>0</v>
      </c>
      <c r="Q20" s="497"/>
      <c r="R20" s="497"/>
      <c r="S20" s="497"/>
      <c r="T20" s="497"/>
      <c r="U20" s="497"/>
      <c r="V20" s="99"/>
      <c r="W20" s="64"/>
    </row>
    <row r="21" spans="2:23" ht="12.75" customHeight="1" x14ac:dyDescent="0.25">
      <c r="E21" s="18"/>
      <c r="F21" s="18"/>
      <c r="G21" s="18"/>
      <c r="H21" s="18"/>
      <c r="I21" s="18"/>
      <c r="J21" s="18"/>
    </row>
    <row r="22" spans="2:23" ht="15" x14ac:dyDescent="0.25">
      <c r="B22" s="499" t="s">
        <v>322</v>
      </c>
      <c r="C22" s="499"/>
      <c r="D22" s="499"/>
      <c r="E22" s="499"/>
      <c r="F22" s="499"/>
      <c r="G22" s="500" t="str">
        <f>G16</f>
        <v>Anläggning 1</v>
      </c>
      <c r="H22" s="500"/>
      <c r="I22" s="500"/>
      <c r="J22" s="500" t="str">
        <f t="shared" ref="J22" si="3">J16</f>
        <v>Anläggning 2</v>
      </c>
      <c r="K22" s="500"/>
      <c r="L22" s="500"/>
      <c r="M22" s="500" t="str">
        <f t="shared" ref="M22" si="4">M16</f>
        <v>Anläggning 3</v>
      </c>
      <c r="N22" s="500"/>
      <c r="O22" s="500"/>
      <c r="P22" s="500" t="str">
        <f t="shared" ref="P22" si="5">P16</f>
        <v>Anläggning 4</v>
      </c>
      <c r="Q22" s="500"/>
      <c r="R22" s="500"/>
      <c r="S22" s="496"/>
      <c r="T22" s="496"/>
      <c r="U22" s="496"/>
      <c r="V22" s="29"/>
      <c r="W22" s="29"/>
    </row>
    <row r="23" spans="2:23" ht="15" x14ac:dyDescent="0.25">
      <c r="B23" s="16"/>
      <c r="C23" s="101"/>
      <c r="D23" s="101"/>
      <c r="E23" s="101"/>
      <c r="F23" s="101"/>
      <c r="G23" s="498"/>
      <c r="H23" s="498"/>
      <c r="I23" s="498"/>
      <c r="J23" s="498"/>
      <c r="K23" s="498"/>
      <c r="L23" s="498"/>
      <c r="M23" s="498"/>
      <c r="N23" s="498"/>
      <c r="O23" s="498"/>
      <c r="P23" s="498"/>
      <c r="Q23" s="498"/>
      <c r="R23" s="498"/>
      <c r="S23" s="29"/>
      <c r="T23" s="29"/>
      <c r="U23" s="29"/>
      <c r="V23" s="29"/>
      <c r="W23" s="29"/>
    </row>
    <row r="24" spans="2:23" ht="15" x14ac:dyDescent="0.25">
      <c r="B24" s="16" t="s">
        <v>323</v>
      </c>
      <c r="C24" s="16"/>
      <c r="D24" s="16"/>
      <c r="E24" s="22" t="s">
        <v>324</v>
      </c>
      <c r="F24" s="22"/>
      <c r="G24" s="497">
        <f>'2. LCC A1'!I197</f>
        <v>0</v>
      </c>
      <c r="H24" s="497"/>
      <c r="I24" s="497"/>
      <c r="J24" s="497">
        <f>'2. LCC A2'!I197</f>
        <v>0</v>
      </c>
      <c r="K24" s="497"/>
      <c r="L24" s="497"/>
      <c r="M24" s="497">
        <f>'2. LCC A3'!I197</f>
        <v>0</v>
      </c>
      <c r="N24" s="497"/>
      <c r="O24" s="497"/>
      <c r="P24" s="497">
        <f>'2. LCC A4'!I197</f>
        <v>0</v>
      </c>
      <c r="Q24" s="497"/>
      <c r="R24" s="497"/>
      <c r="S24" s="497"/>
      <c r="T24" s="497"/>
      <c r="U24" s="497"/>
      <c r="V24" s="102"/>
      <c r="W24" s="102"/>
    </row>
    <row r="25" spans="2:23" ht="15" x14ac:dyDescent="0.25">
      <c r="B25" s="16" t="s">
        <v>135</v>
      </c>
      <c r="C25" s="16"/>
      <c r="D25" s="16"/>
      <c r="E25" s="22" t="s">
        <v>325</v>
      </c>
      <c r="F25" s="22"/>
      <c r="G25" s="497">
        <f>'2. LCC A1'!I220</f>
        <v>0</v>
      </c>
      <c r="H25" s="497"/>
      <c r="I25" s="497"/>
      <c r="J25" s="497">
        <f>'2. LCC A2'!I220</f>
        <v>0</v>
      </c>
      <c r="K25" s="497"/>
      <c r="L25" s="497"/>
      <c r="M25" s="497">
        <f>'2. LCC A3'!I220</f>
        <v>0</v>
      </c>
      <c r="N25" s="497"/>
      <c r="O25" s="497"/>
      <c r="P25" s="497">
        <f>'2. LCC A4'!I220</f>
        <v>0</v>
      </c>
      <c r="Q25" s="497"/>
      <c r="R25" s="497"/>
      <c r="S25" s="497"/>
      <c r="T25" s="497"/>
      <c r="U25" s="497"/>
      <c r="V25" s="102"/>
      <c r="W25" s="102"/>
    </row>
    <row r="50" spans="7:23" ht="15" x14ac:dyDescent="0.25">
      <c r="G50" s="496"/>
      <c r="H50" s="496"/>
      <c r="I50" s="496"/>
      <c r="J50" s="496"/>
      <c r="K50" s="496"/>
      <c r="L50" s="496"/>
      <c r="M50" s="496"/>
      <c r="N50" s="496"/>
      <c r="O50" s="496"/>
      <c r="P50" s="496"/>
      <c r="Q50" s="496"/>
      <c r="R50" s="496"/>
      <c r="S50" s="496"/>
      <c r="T50" s="496"/>
      <c r="U50" s="496"/>
      <c r="V50" s="29"/>
      <c r="W50" s="29"/>
    </row>
  </sheetData>
  <sheetProtection algorithmName="SHA-512" hashValue="oIem1uz0sZETXu1n6Dgqu4YPn3sSG/NXVQxdTCaoN/e04HPUCH6KR5Q6Fd52POPF3wMrpoPU8HrEXXxmuoHahQ==" saltValue="Fj+86Z4ntZevfjiLZMmNlA==" spinCount="100000" sheet="1" objects="1" scenarios="1"/>
  <mergeCells count="63">
    <mergeCell ref="T6:W6"/>
    <mergeCell ref="B6:C6"/>
    <mergeCell ref="D6:G6"/>
    <mergeCell ref="H6:L6"/>
    <mergeCell ref="M6:O6"/>
    <mergeCell ref="P6:S6"/>
    <mergeCell ref="S16:U16"/>
    <mergeCell ref="B10:C10"/>
    <mergeCell ref="D10:J10"/>
    <mergeCell ref="B11:C11"/>
    <mergeCell ref="D11:J11"/>
    <mergeCell ref="B12:C12"/>
    <mergeCell ref="D12:J12"/>
    <mergeCell ref="B14:D14"/>
    <mergeCell ref="G16:I16"/>
    <mergeCell ref="J16:L16"/>
    <mergeCell ref="M16:O16"/>
    <mergeCell ref="P16:R16"/>
    <mergeCell ref="G18:I18"/>
    <mergeCell ref="J18:L18"/>
    <mergeCell ref="M18:O18"/>
    <mergeCell ref="P18:R18"/>
    <mergeCell ref="S18:U18"/>
    <mergeCell ref="G17:I17"/>
    <mergeCell ref="J17:L17"/>
    <mergeCell ref="M17:O17"/>
    <mergeCell ref="P17:R17"/>
    <mergeCell ref="S17:U17"/>
    <mergeCell ref="S22:U22"/>
    <mergeCell ref="G19:I19"/>
    <mergeCell ref="J19:L19"/>
    <mergeCell ref="M19:O19"/>
    <mergeCell ref="P19:R19"/>
    <mergeCell ref="S19:U19"/>
    <mergeCell ref="G20:I20"/>
    <mergeCell ref="J20:L20"/>
    <mergeCell ref="M20:O20"/>
    <mergeCell ref="P20:R20"/>
    <mergeCell ref="S20:U20"/>
    <mergeCell ref="B22:F22"/>
    <mergeCell ref="G22:I22"/>
    <mergeCell ref="J22:L22"/>
    <mergeCell ref="M22:O22"/>
    <mergeCell ref="P22:R22"/>
    <mergeCell ref="G23:I23"/>
    <mergeCell ref="J23:L23"/>
    <mergeCell ref="M23:O23"/>
    <mergeCell ref="P23:R23"/>
    <mergeCell ref="G24:I24"/>
    <mergeCell ref="J24:L24"/>
    <mergeCell ref="M24:O24"/>
    <mergeCell ref="P24:R24"/>
    <mergeCell ref="S24:U24"/>
    <mergeCell ref="G25:I25"/>
    <mergeCell ref="J25:L25"/>
    <mergeCell ref="M25:O25"/>
    <mergeCell ref="P25:R25"/>
    <mergeCell ref="S25:U25"/>
    <mergeCell ref="G50:I50"/>
    <mergeCell ref="J50:L50"/>
    <mergeCell ref="M50:O50"/>
    <mergeCell ref="P50:R50"/>
    <mergeCell ref="S50:U50"/>
  </mergeCells>
  <pageMargins left="0.25" right="0.25" top="0.75" bottom="0.75" header="0.3" footer="0.3"/>
  <pageSetup paperSize="9" scale="53"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CD5B4-1108-47A2-A8CB-41937497C4AA}">
  <sheetPr codeName="Blad7">
    <tabColor rgb="FF6B2879"/>
    <pageSetUpPr fitToPage="1"/>
  </sheetPr>
  <dimension ref="A1:AD83"/>
  <sheetViews>
    <sheetView workbookViewId="0"/>
  </sheetViews>
  <sheetFormatPr defaultColWidth="9.140625" defaultRowHeight="12.75" x14ac:dyDescent="0.2"/>
  <cols>
    <col min="1" max="31" width="8.42578125" style="13" customWidth="1"/>
    <col min="32" max="16384" width="9.140625" style="13"/>
  </cols>
  <sheetData>
    <row r="1" spans="1:30" x14ac:dyDescent="0.2">
      <c r="A1" s="337" t="s">
        <v>0</v>
      </c>
    </row>
    <row r="2" spans="1:30" ht="33.75" x14ac:dyDescent="0.5">
      <c r="G2" s="97" t="s">
        <v>1</v>
      </c>
    </row>
    <row r="3" spans="1:30" x14ac:dyDescent="0.2">
      <c r="G3" s="13" t="str">
        <f>'1. Introduktion'!G3</f>
        <v>Version 3.0</v>
      </c>
    </row>
    <row r="4" spans="1:30" x14ac:dyDescent="0.2">
      <c r="G4" s="13" t="str">
        <f>'1. Introduktion'!G4</f>
        <v>Datum: 2024-12-17</v>
      </c>
    </row>
    <row r="6" spans="1:30" s="6" customFormat="1" ht="41.25" customHeight="1" x14ac:dyDescent="0.35">
      <c r="B6" s="428"/>
      <c r="C6" s="428"/>
      <c r="D6" s="428"/>
      <c r="E6" s="428"/>
      <c r="F6" s="428"/>
      <c r="G6" s="428"/>
      <c r="H6" s="428"/>
      <c r="I6" s="428"/>
      <c r="J6" s="428"/>
      <c r="K6" s="428"/>
      <c r="L6" s="428"/>
      <c r="M6" s="428"/>
      <c r="N6" s="428"/>
      <c r="O6" s="428"/>
      <c r="P6" s="428"/>
      <c r="Q6" s="428"/>
      <c r="R6" s="428"/>
      <c r="S6" s="428"/>
      <c r="T6" s="428"/>
      <c r="U6" s="428"/>
      <c r="V6" s="428"/>
      <c r="W6" s="428"/>
    </row>
    <row r="9" spans="1:30" ht="24" thickBot="1" x14ac:dyDescent="0.4">
      <c r="B9" s="17"/>
      <c r="C9" s="17"/>
      <c r="D9" s="36" t="s">
        <v>326</v>
      </c>
      <c r="E9" s="36"/>
      <c r="F9" s="36"/>
      <c r="G9" s="36"/>
      <c r="H9" s="36"/>
      <c r="I9" s="36"/>
      <c r="M9" s="13" t="s">
        <v>327</v>
      </c>
      <c r="S9" s="17"/>
      <c r="T9" s="105" t="s">
        <v>326</v>
      </c>
      <c r="U9" s="105"/>
      <c r="V9" s="105"/>
      <c r="W9" s="105"/>
      <c r="X9" s="105"/>
      <c r="Y9" s="105"/>
      <c r="AC9" s="13" t="s">
        <v>328</v>
      </c>
    </row>
    <row r="10" spans="1:30" ht="15" x14ac:dyDescent="0.25">
      <c r="D10" s="13" t="s">
        <v>329</v>
      </c>
      <c r="J10" s="29"/>
      <c r="K10" s="29"/>
      <c r="L10" s="29"/>
      <c r="T10" s="13" t="s">
        <v>1</v>
      </c>
      <c r="Z10" s="29"/>
      <c r="AA10" s="29"/>
      <c r="AB10" s="29"/>
    </row>
    <row r="11" spans="1:30" ht="15" x14ac:dyDescent="0.25">
      <c r="C11" s="106"/>
      <c r="D11" s="13" t="s">
        <v>330</v>
      </c>
      <c r="S11" s="106"/>
      <c r="T11" s="13" t="s">
        <v>330</v>
      </c>
    </row>
    <row r="12" spans="1:30" ht="18.75" x14ac:dyDescent="0.3">
      <c r="C12" s="106"/>
      <c r="D12" s="107" t="s">
        <v>67</v>
      </c>
      <c r="I12" s="13" t="s">
        <v>331</v>
      </c>
      <c r="K12" s="507"/>
      <c r="L12" s="507"/>
      <c r="M12" s="507"/>
      <c r="N12" s="507"/>
      <c r="S12" s="106"/>
    </row>
    <row r="13" spans="1:30" ht="18.75" x14ac:dyDescent="0.3">
      <c r="C13" s="106"/>
      <c r="D13" s="16" t="s">
        <v>77</v>
      </c>
      <c r="E13" s="16"/>
      <c r="F13" s="16"/>
      <c r="G13" s="16"/>
      <c r="H13" s="16"/>
      <c r="I13" s="16" t="s">
        <v>78</v>
      </c>
      <c r="J13" s="29"/>
      <c r="K13" s="508"/>
      <c r="L13" s="508"/>
      <c r="M13" s="508"/>
      <c r="N13" s="508"/>
      <c r="S13" s="106"/>
      <c r="T13" s="107" t="s">
        <v>332</v>
      </c>
      <c r="Y13" s="13" t="s">
        <v>331</v>
      </c>
      <c r="AA13" s="507"/>
      <c r="AB13" s="507"/>
      <c r="AC13" s="507"/>
      <c r="AD13" s="507"/>
    </row>
    <row r="14" spans="1:30" ht="15" x14ac:dyDescent="0.25">
      <c r="C14" s="106"/>
      <c r="D14" s="16" t="s">
        <v>79</v>
      </c>
      <c r="E14" s="16"/>
      <c r="F14" s="16"/>
      <c r="G14" s="16"/>
      <c r="H14" s="16"/>
      <c r="I14" s="16" t="s">
        <v>333</v>
      </c>
      <c r="J14" s="29"/>
      <c r="K14" s="508"/>
      <c r="L14" s="508"/>
      <c r="M14" s="508"/>
      <c r="N14" s="508"/>
      <c r="S14" s="106"/>
      <c r="T14" s="16"/>
      <c r="U14" s="16"/>
      <c r="V14" s="16"/>
      <c r="W14" s="16"/>
      <c r="X14" s="16"/>
      <c r="Y14" s="16"/>
      <c r="Z14" s="29"/>
      <c r="AA14" s="16"/>
      <c r="AB14" s="16"/>
      <c r="AC14" s="16"/>
      <c r="AD14" s="16"/>
    </row>
    <row r="15" spans="1:30" ht="15" x14ac:dyDescent="0.25">
      <c r="C15" s="106"/>
      <c r="D15" s="16" t="s">
        <v>118</v>
      </c>
      <c r="E15" s="16"/>
      <c r="F15" s="16"/>
      <c r="G15" s="16"/>
      <c r="H15" s="16"/>
      <c r="I15" s="16" t="s">
        <v>106</v>
      </c>
      <c r="J15" s="29"/>
      <c r="K15" s="508"/>
      <c r="L15" s="508"/>
      <c r="M15" s="508"/>
      <c r="N15" s="508"/>
      <c r="S15" s="106"/>
      <c r="T15" s="16"/>
      <c r="U15" s="16"/>
      <c r="V15" s="16"/>
      <c r="W15" s="16"/>
      <c r="X15" s="16"/>
      <c r="Y15" s="16"/>
      <c r="Z15" s="29"/>
      <c r="AA15" s="109"/>
      <c r="AB15" s="109"/>
      <c r="AC15" s="109"/>
      <c r="AD15" s="109"/>
    </row>
    <row r="16" spans="1:30" ht="15" x14ac:dyDescent="0.25">
      <c r="C16" s="106"/>
      <c r="D16" s="16"/>
      <c r="E16" s="16"/>
      <c r="F16" s="16"/>
      <c r="G16" s="16"/>
      <c r="H16" s="16"/>
      <c r="I16" s="16"/>
      <c r="J16" s="29"/>
      <c r="K16" s="109"/>
      <c r="L16" s="109"/>
      <c r="M16" s="109"/>
      <c r="N16" s="109"/>
      <c r="S16" s="106"/>
      <c r="T16" s="16"/>
      <c r="U16" s="16"/>
      <c r="V16" s="16"/>
      <c r="W16" s="16"/>
      <c r="X16" s="16"/>
      <c r="Y16" s="16"/>
      <c r="Z16" s="29"/>
      <c r="AA16" s="109"/>
      <c r="AB16" s="109"/>
      <c r="AC16" s="109"/>
      <c r="AD16" s="109"/>
    </row>
    <row r="17" spans="3:30" ht="15" x14ac:dyDescent="0.25">
      <c r="C17" s="106"/>
      <c r="D17" s="39" t="s">
        <v>334</v>
      </c>
      <c r="E17" s="16"/>
      <c r="F17" s="16"/>
      <c r="G17" s="16"/>
      <c r="H17" s="16"/>
      <c r="I17" s="16"/>
      <c r="J17" s="30"/>
      <c r="K17" s="52"/>
      <c r="L17" s="52"/>
      <c r="M17" s="53"/>
      <c r="N17" s="53"/>
      <c r="S17" s="106"/>
      <c r="T17" s="39" t="s">
        <v>335</v>
      </c>
      <c r="Y17" s="16"/>
      <c r="AA17" s="110"/>
      <c r="AB17" s="110"/>
      <c r="AC17" s="110"/>
      <c r="AD17" s="110"/>
    </row>
    <row r="18" spans="3:30" ht="15" x14ac:dyDescent="0.25">
      <c r="C18" s="106"/>
      <c r="D18" s="16" t="s">
        <v>216</v>
      </c>
      <c r="E18" s="16"/>
      <c r="F18" s="16"/>
      <c r="G18" s="16"/>
      <c r="H18" s="16"/>
      <c r="I18" s="16" t="s">
        <v>78</v>
      </c>
      <c r="J18" s="54"/>
      <c r="K18" s="506"/>
      <c r="L18" s="506"/>
      <c r="M18" s="506"/>
      <c r="N18" s="506"/>
      <c r="S18" s="106"/>
      <c r="T18" s="16" t="s">
        <v>216</v>
      </c>
      <c r="Y18" s="13" t="s">
        <v>78</v>
      </c>
      <c r="AA18" s="67"/>
      <c r="AB18" s="67"/>
      <c r="AC18" s="67"/>
      <c r="AD18" s="67"/>
    </row>
    <row r="19" spans="3:30" ht="15" x14ac:dyDescent="0.25">
      <c r="C19" s="106"/>
      <c r="D19" s="16" t="s">
        <v>86</v>
      </c>
      <c r="E19" s="16"/>
      <c r="F19" s="16"/>
      <c r="G19" s="16"/>
      <c r="H19" s="16"/>
      <c r="I19" s="16" t="s">
        <v>87</v>
      </c>
      <c r="J19" s="54"/>
      <c r="K19" s="509"/>
      <c r="L19" s="509"/>
      <c r="M19" s="509"/>
      <c r="N19" s="509"/>
      <c r="S19" s="106"/>
      <c r="T19" s="16" t="s">
        <v>86</v>
      </c>
      <c r="U19" s="16"/>
      <c r="V19" s="16"/>
      <c r="W19" s="16"/>
      <c r="X19" s="16"/>
      <c r="Y19" s="16" t="s">
        <v>87</v>
      </c>
      <c r="Z19" s="29"/>
      <c r="AA19" s="108"/>
      <c r="AB19" s="108"/>
      <c r="AC19" s="108"/>
      <c r="AD19" s="108"/>
    </row>
    <row r="20" spans="3:30" ht="15" x14ac:dyDescent="0.25">
      <c r="C20" s="106"/>
      <c r="D20" s="16" t="s">
        <v>89</v>
      </c>
      <c r="E20" s="55"/>
      <c r="F20" s="55"/>
      <c r="G20" s="55"/>
      <c r="H20" s="55"/>
      <c r="I20" s="16" t="s">
        <v>87</v>
      </c>
      <c r="J20" s="54"/>
      <c r="K20" s="509"/>
      <c r="L20" s="509"/>
      <c r="M20" s="509"/>
      <c r="N20" s="509"/>
      <c r="S20" s="106"/>
      <c r="T20" s="16" t="s">
        <v>89</v>
      </c>
      <c r="U20" s="16"/>
      <c r="V20" s="16"/>
      <c r="W20" s="16"/>
      <c r="X20" s="16"/>
      <c r="Y20" s="16" t="s">
        <v>87</v>
      </c>
      <c r="Z20" s="30"/>
      <c r="AA20" s="108"/>
      <c r="AB20" s="108"/>
      <c r="AC20" s="108"/>
      <c r="AD20" s="108"/>
    </row>
    <row r="21" spans="3:30" ht="15" x14ac:dyDescent="0.25">
      <c r="C21" s="111"/>
      <c r="D21" s="55" t="s">
        <v>91</v>
      </c>
      <c r="E21" s="56"/>
      <c r="F21" s="56"/>
      <c r="G21" s="56"/>
      <c r="H21" s="56"/>
      <c r="I21" s="16" t="s">
        <v>92</v>
      </c>
      <c r="J21" s="54"/>
      <c r="K21" s="509"/>
      <c r="L21" s="509"/>
      <c r="M21" s="509"/>
      <c r="N21" s="509"/>
      <c r="S21" s="111"/>
      <c r="T21" s="55" t="s">
        <v>91</v>
      </c>
      <c r="U21" s="16"/>
      <c r="V21" s="16"/>
      <c r="W21" s="16"/>
      <c r="X21" s="16"/>
      <c r="Y21" s="16" t="s">
        <v>92</v>
      </c>
      <c r="Z21" s="54"/>
      <c r="AA21" s="68"/>
      <c r="AB21" s="68"/>
      <c r="AC21" s="68"/>
      <c r="AD21" s="68"/>
    </row>
    <row r="22" spans="3:30" ht="15" x14ac:dyDescent="0.25">
      <c r="D22" s="56" t="s">
        <v>94</v>
      </c>
      <c r="E22" s="57"/>
      <c r="F22" s="57"/>
      <c r="G22" s="57"/>
      <c r="H22" s="57"/>
      <c r="I22" s="16"/>
      <c r="J22" s="54"/>
      <c r="K22" s="509"/>
      <c r="L22" s="509"/>
      <c r="M22" s="509"/>
      <c r="N22" s="509"/>
      <c r="T22" s="56" t="s">
        <v>94</v>
      </c>
      <c r="U22" s="16"/>
      <c r="V22" s="16"/>
      <c r="W22" s="16"/>
      <c r="X22" s="16"/>
      <c r="Y22" s="16"/>
      <c r="Z22" s="54"/>
      <c r="AA22" s="69"/>
      <c r="AB22" s="69"/>
      <c r="AC22" s="69"/>
      <c r="AD22" s="69"/>
    </row>
    <row r="23" spans="3:30" ht="15" x14ac:dyDescent="0.25">
      <c r="D23" s="57" t="s">
        <v>336</v>
      </c>
      <c r="E23" s="57"/>
      <c r="F23" s="57"/>
      <c r="G23" s="57"/>
      <c r="H23" s="57"/>
      <c r="I23" s="16"/>
      <c r="J23" s="54"/>
      <c r="K23" s="510"/>
      <c r="L23" s="510"/>
      <c r="M23" s="510"/>
      <c r="N23" s="510"/>
      <c r="T23" s="57" t="s">
        <v>336</v>
      </c>
      <c r="U23" s="55"/>
      <c r="V23" s="55"/>
      <c r="W23" s="55"/>
      <c r="X23" s="55"/>
      <c r="Y23" s="16"/>
      <c r="Z23" s="54"/>
      <c r="AA23" s="69"/>
      <c r="AB23" s="69"/>
      <c r="AC23" s="69"/>
      <c r="AD23" s="69"/>
    </row>
    <row r="24" spans="3:30" ht="15" x14ac:dyDescent="0.25">
      <c r="D24" s="57" t="s">
        <v>337</v>
      </c>
      <c r="E24" s="58"/>
      <c r="F24" s="58"/>
      <c r="G24" s="58"/>
      <c r="H24" s="58"/>
      <c r="I24" s="112"/>
      <c r="J24" s="59"/>
      <c r="K24" s="511"/>
      <c r="L24" s="511"/>
      <c r="M24" s="511"/>
      <c r="N24" s="511"/>
      <c r="T24" s="57" t="s">
        <v>337</v>
      </c>
      <c r="U24" s="56"/>
      <c r="V24" s="56"/>
      <c r="W24" s="56"/>
      <c r="X24" s="56"/>
      <c r="Y24" s="16"/>
      <c r="Z24" s="54"/>
      <c r="AA24" s="69"/>
      <c r="AB24" s="69"/>
      <c r="AC24" s="69"/>
      <c r="AD24" s="69"/>
    </row>
    <row r="25" spans="3:30" ht="15" x14ac:dyDescent="0.25">
      <c r="D25" s="58" t="s">
        <v>101</v>
      </c>
      <c r="K25" s="511"/>
      <c r="L25" s="511"/>
      <c r="M25" s="511"/>
      <c r="N25" s="511"/>
      <c r="T25" s="58" t="s">
        <v>101</v>
      </c>
      <c r="U25" s="57"/>
      <c r="V25" s="57"/>
      <c r="W25" s="57"/>
      <c r="X25" s="57"/>
      <c r="Y25" s="16"/>
      <c r="Z25" s="54"/>
      <c r="AA25" s="69"/>
      <c r="AB25" s="69"/>
      <c r="AC25" s="69"/>
      <c r="AD25" s="69"/>
    </row>
    <row r="26" spans="3:30" ht="15" x14ac:dyDescent="0.25">
      <c r="D26" s="16" t="s">
        <v>105</v>
      </c>
      <c r="I26" s="16" t="s">
        <v>106</v>
      </c>
      <c r="K26" s="511"/>
      <c r="L26" s="511"/>
      <c r="M26" s="511"/>
      <c r="N26" s="511"/>
      <c r="T26" s="16" t="s">
        <v>105</v>
      </c>
      <c r="U26" s="57"/>
      <c r="V26" s="57"/>
      <c r="W26" s="57"/>
      <c r="X26" s="57"/>
      <c r="Y26" s="16" t="s">
        <v>106</v>
      </c>
      <c r="Z26" s="54"/>
      <c r="AA26" s="509"/>
      <c r="AB26" s="509"/>
      <c r="AC26" s="509"/>
      <c r="AD26" s="509"/>
    </row>
    <row r="27" spans="3:30" ht="15" x14ac:dyDescent="0.25">
      <c r="D27" s="16"/>
      <c r="I27" s="16"/>
      <c r="K27" s="110"/>
      <c r="L27" s="110"/>
      <c r="M27" s="110"/>
      <c r="N27" s="110"/>
      <c r="T27" s="16"/>
      <c r="U27" s="57"/>
      <c r="V27" s="57"/>
      <c r="W27" s="57"/>
      <c r="X27" s="57"/>
      <c r="Y27" s="16"/>
      <c r="Z27" s="54"/>
    </row>
    <row r="28" spans="3:30" ht="15" x14ac:dyDescent="0.25">
      <c r="D28" s="39" t="s">
        <v>338</v>
      </c>
      <c r="I28" s="16"/>
      <c r="K28" s="110"/>
      <c r="L28" s="110"/>
      <c r="M28" s="110"/>
      <c r="N28" s="110"/>
      <c r="T28" s="39" t="s">
        <v>339</v>
      </c>
      <c r="Y28" s="16"/>
      <c r="AA28" s="110"/>
      <c r="AB28" s="110"/>
      <c r="AC28" s="110"/>
      <c r="AD28" s="110"/>
    </row>
    <row r="29" spans="3:30" ht="15" x14ac:dyDescent="0.25">
      <c r="D29" s="16" t="s">
        <v>216</v>
      </c>
      <c r="I29" s="13" t="s">
        <v>78</v>
      </c>
      <c r="K29" s="507"/>
      <c r="L29" s="507"/>
      <c r="M29" s="507"/>
      <c r="N29" s="507"/>
      <c r="T29" s="16" t="s">
        <v>216</v>
      </c>
      <c r="Y29" s="13" t="s">
        <v>78</v>
      </c>
      <c r="AA29" s="67"/>
      <c r="AB29" s="67"/>
      <c r="AC29" s="67"/>
      <c r="AD29" s="67"/>
    </row>
    <row r="30" spans="3:30" ht="15" x14ac:dyDescent="0.25">
      <c r="D30" s="16" t="s">
        <v>86</v>
      </c>
      <c r="E30" s="16"/>
      <c r="F30" s="16"/>
      <c r="G30" s="16"/>
      <c r="H30" s="16"/>
      <c r="I30" s="16" t="s">
        <v>87</v>
      </c>
      <c r="J30" s="29"/>
      <c r="K30" s="508"/>
      <c r="L30" s="508"/>
      <c r="M30" s="508"/>
      <c r="N30" s="508"/>
      <c r="T30" s="16" t="s">
        <v>86</v>
      </c>
      <c r="U30" s="16"/>
      <c r="V30" s="16"/>
      <c r="W30" s="16"/>
      <c r="X30" s="16"/>
      <c r="Y30" s="16" t="s">
        <v>87</v>
      </c>
      <c r="Z30" s="29"/>
      <c r="AA30" s="108"/>
      <c r="AB30" s="108"/>
      <c r="AC30" s="108"/>
      <c r="AD30" s="108"/>
    </row>
    <row r="31" spans="3:30" ht="15" x14ac:dyDescent="0.25">
      <c r="D31" s="16" t="s">
        <v>89</v>
      </c>
      <c r="E31" s="16"/>
      <c r="F31" s="16"/>
      <c r="G31" s="16"/>
      <c r="H31" s="16"/>
      <c r="I31" s="16" t="s">
        <v>87</v>
      </c>
      <c r="J31" s="30"/>
      <c r="K31" s="508"/>
      <c r="L31" s="508"/>
      <c r="M31" s="508"/>
      <c r="N31" s="508"/>
      <c r="T31" s="16" t="s">
        <v>89</v>
      </c>
      <c r="U31" s="16"/>
      <c r="V31" s="16"/>
      <c r="W31" s="16"/>
      <c r="X31" s="16"/>
      <c r="Y31" s="16" t="s">
        <v>87</v>
      </c>
      <c r="Z31" s="30"/>
      <c r="AA31" s="108"/>
      <c r="AB31" s="108"/>
      <c r="AC31" s="108"/>
      <c r="AD31" s="108"/>
    </row>
    <row r="32" spans="3:30" ht="15" x14ac:dyDescent="0.25">
      <c r="D32" s="55" t="s">
        <v>91</v>
      </c>
      <c r="E32" s="16"/>
      <c r="F32" s="16"/>
      <c r="G32" s="16"/>
      <c r="H32" s="16"/>
      <c r="I32" s="16" t="s">
        <v>92</v>
      </c>
      <c r="J32" s="54"/>
      <c r="K32" s="506"/>
      <c r="L32" s="506"/>
      <c r="M32" s="506"/>
      <c r="N32" s="506"/>
      <c r="T32" s="55" t="s">
        <v>91</v>
      </c>
      <c r="U32" s="16"/>
      <c r="V32" s="16"/>
      <c r="W32" s="16"/>
      <c r="X32" s="16"/>
      <c r="Y32" s="16" t="s">
        <v>92</v>
      </c>
      <c r="Z32" s="54"/>
      <c r="AA32" s="68"/>
      <c r="AB32" s="68"/>
      <c r="AC32" s="68"/>
      <c r="AD32" s="68"/>
    </row>
    <row r="33" spans="4:30" ht="15" x14ac:dyDescent="0.25">
      <c r="D33" s="56" t="s">
        <v>94</v>
      </c>
      <c r="E33" s="16"/>
      <c r="F33" s="16"/>
      <c r="G33" s="16"/>
      <c r="H33" s="16"/>
      <c r="I33" s="16"/>
      <c r="J33" s="54"/>
      <c r="K33" s="509"/>
      <c r="L33" s="509"/>
      <c r="M33" s="509"/>
      <c r="N33" s="509"/>
      <c r="T33" s="56" t="s">
        <v>94</v>
      </c>
      <c r="U33" s="16"/>
      <c r="V33" s="16"/>
      <c r="W33" s="16"/>
      <c r="X33" s="16"/>
      <c r="Y33" s="16"/>
      <c r="Z33" s="54"/>
      <c r="AA33" s="69"/>
      <c r="AB33" s="69"/>
      <c r="AC33" s="69"/>
      <c r="AD33" s="69"/>
    </row>
    <row r="34" spans="4:30" ht="15" x14ac:dyDescent="0.25">
      <c r="D34" s="57" t="s">
        <v>336</v>
      </c>
      <c r="E34" s="55"/>
      <c r="F34" s="55"/>
      <c r="G34" s="55"/>
      <c r="H34" s="55"/>
      <c r="I34" s="16"/>
      <c r="J34" s="54"/>
      <c r="K34" s="509"/>
      <c r="L34" s="509"/>
      <c r="M34" s="509"/>
      <c r="N34" s="509"/>
      <c r="T34" s="57" t="s">
        <v>336</v>
      </c>
      <c r="U34" s="55"/>
      <c r="V34" s="55"/>
      <c r="W34" s="55"/>
      <c r="X34" s="55"/>
      <c r="Y34" s="16"/>
      <c r="Z34" s="54"/>
      <c r="AA34" s="69"/>
      <c r="AB34" s="69"/>
      <c r="AC34" s="69"/>
      <c r="AD34" s="69"/>
    </row>
    <row r="35" spans="4:30" ht="15" x14ac:dyDescent="0.25">
      <c r="D35" s="57" t="s">
        <v>337</v>
      </c>
      <c r="E35" s="56"/>
      <c r="F35" s="56"/>
      <c r="G35" s="56"/>
      <c r="H35" s="56"/>
      <c r="I35" s="16"/>
      <c r="J35" s="54"/>
      <c r="K35" s="509"/>
      <c r="L35" s="509"/>
      <c r="M35" s="509"/>
      <c r="N35" s="509"/>
      <c r="T35" s="57" t="s">
        <v>337</v>
      </c>
      <c r="U35" s="56"/>
      <c r="V35" s="56"/>
      <c r="W35" s="56"/>
      <c r="X35" s="56"/>
      <c r="Y35" s="16"/>
      <c r="Z35" s="54"/>
      <c r="AA35" s="69"/>
      <c r="AB35" s="69"/>
      <c r="AC35" s="69"/>
      <c r="AD35" s="69"/>
    </row>
    <row r="36" spans="4:30" ht="15" x14ac:dyDescent="0.25">
      <c r="D36" s="58" t="s">
        <v>101</v>
      </c>
      <c r="E36" s="57"/>
      <c r="F36" s="57"/>
      <c r="G36" s="57"/>
      <c r="H36" s="57"/>
      <c r="I36" s="16"/>
      <c r="J36" s="54"/>
      <c r="K36" s="509"/>
      <c r="L36" s="509"/>
      <c r="M36" s="509"/>
      <c r="N36" s="509"/>
      <c r="T36" s="58" t="s">
        <v>101</v>
      </c>
      <c r="U36" s="57"/>
      <c r="V36" s="57"/>
      <c r="W36" s="57"/>
      <c r="X36" s="57"/>
      <c r="Y36" s="16"/>
      <c r="Z36" s="54"/>
      <c r="AA36" s="69"/>
      <c r="AB36" s="69"/>
      <c r="AC36" s="69"/>
      <c r="AD36" s="69"/>
    </row>
    <row r="37" spans="4:30" ht="15" x14ac:dyDescent="0.25">
      <c r="D37" s="16" t="s">
        <v>105</v>
      </c>
      <c r="E37" s="57"/>
      <c r="F37" s="57"/>
      <c r="G37" s="57"/>
      <c r="H37" s="57"/>
      <c r="I37" s="16" t="s">
        <v>106</v>
      </c>
      <c r="J37" s="54"/>
      <c r="K37" s="509"/>
      <c r="L37" s="509"/>
      <c r="M37" s="509"/>
      <c r="N37" s="509"/>
      <c r="T37" s="16" t="s">
        <v>105</v>
      </c>
      <c r="U37" s="57"/>
      <c r="V37" s="57"/>
      <c r="W37" s="57"/>
      <c r="X37" s="57"/>
      <c r="Y37" s="16" t="s">
        <v>106</v>
      </c>
      <c r="Z37" s="54"/>
      <c r="AA37" s="509"/>
      <c r="AB37" s="509"/>
      <c r="AC37" s="509"/>
      <c r="AD37" s="509"/>
    </row>
    <row r="38" spans="4:30" ht="15" x14ac:dyDescent="0.25">
      <c r="D38" s="57"/>
      <c r="E38" s="58"/>
      <c r="F38" s="58"/>
      <c r="G38" s="58"/>
      <c r="H38" s="58"/>
      <c r="I38" s="112"/>
      <c r="J38" s="59"/>
      <c r="K38" s="110"/>
      <c r="L38" s="110"/>
      <c r="M38" s="110"/>
      <c r="N38" s="110"/>
    </row>
    <row r="39" spans="4:30" ht="15" x14ac:dyDescent="0.25">
      <c r="D39" s="39" t="s">
        <v>340</v>
      </c>
      <c r="I39" s="16"/>
      <c r="K39" s="110"/>
      <c r="L39" s="110"/>
      <c r="M39" s="110"/>
      <c r="N39" s="110"/>
      <c r="T39" s="39" t="s">
        <v>341</v>
      </c>
      <c r="Y39" s="16"/>
      <c r="AA39" s="110"/>
      <c r="AB39" s="110"/>
      <c r="AC39" s="110"/>
      <c r="AD39" s="110"/>
    </row>
    <row r="40" spans="4:30" ht="15" x14ac:dyDescent="0.25">
      <c r="D40" s="16" t="s">
        <v>216</v>
      </c>
      <c r="I40" s="13" t="s">
        <v>78</v>
      </c>
      <c r="K40" s="507"/>
      <c r="L40" s="507"/>
      <c r="M40" s="507"/>
      <c r="N40" s="507"/>
      <c r="T40" s="16" t="s">
        <v>216</v>
      </c>
      <c r="Y40" s="13" t="s">
        <v>78</v>
      </c>
      <c r="AA40" s="67"/>
      <c r="AB40" s="67"/>
      <c r="AC40" s="67"/>
      <c r="AD40" s="67"/>
    </row>
    <row r="41" spans="4:30" ht="15" x14ac:dyDescent="0.25">
      <c r="D41" s="16" t="s">
        <v>86</v>
      </c>
      <c r="E41" s="16"/>
      <c r="F41" s="16"/>
      <c r="G41" s="16"/>
      <c r="H41" s="16"/>
      <c r="I41" s="16" t="s">
        <v>87</v>
      </c>
      <c r="J41" s="29"/>
      <c r="K41" s="508"/>
      <c r="L41" s="508"/>
      <c r="M41" s="508"/>
      <c r="N41" s="508"/>
      <c r="T41" s="16" t="s">
        <v>86</v>
      </c>
      <c r="U41" s="16"/>
      <c r="V41" s="16"/>
      <c r="W41" s="16"/>
      <c r="X41" s="16"/>
      <c r="Y41" s="16" t="s">
        <v>87</v>
      </c>
      <c r="Z41" s="29"/>
      <c r="AA41" s="108"/>
      <c r="AB41" s="108"/>
      <c r="AC41" s="108"/>
      <c r="AD41" s="108"/>
    </row>
    <row r="42" spans="4:30" ht="15" x14ac:dyDescent="0.25">
      <c r="D42" s="16" t="s">
        <v>89</v>
      </c>
      <c r="E42" s="16"/>
      <c r="F42" s="16"/>
      <c r="G42" s="16"/>
      <c r="H42" s="16"/>
      <c r="I42" s="16" t="s">
        <v>87</v>
      </c>
      <c r="J42" s="30"/>
      <c r="K42" s="508"/>
      <c r="L42" s="508"/>
      <c r="M42" s="508"/>
      <c r="N42" s="508"/>
      <c r="T42" s="16" t="s">
        <v>89</v>
      </c>
      <c r="U42" s="16"/>
      <c r="V42" s="16"/>
      <c r="W42" s="16"/>
      <c r="X42" s="16"/>
      <c r="Y42" s="16" t="s">
        <v>87</v>
      </c>
      <c r="Z42" s="30"/>
      <c r="AA42" s="108"/>
      <c r="AB42" s="108"/>
      <c r="AC42" s="108"/>
      <c r="AD42" s="108"/>
    </row>
    <row r="43" spans="4:30" ht="15" x14ac:dyDescent="0.25">
      <c r="D43" s="55" t="s">
        <v>91</v>
      </c>
      <c r="E43" s="16"/>
      <c r="F43" s="16"/>
      <c r="G43" s="16"/>
      <c r="H43" s="16"/>
      <c r="I43" s="16" t="s">
        <v>92</v>
      </c>
      <c r="J43" s="54"/>
      <c r="K43" s="506"/>
      <c r="L43" s="506"/>
      <c r="M43" s="506"/>
      <c r="N43" s="506"/>
      <c r="T43" s="55" t="s">
        <v>91</v>
      </c>
      <c r="U43" s="16"/>
      <c r="V43" s="16"/>
      <c r="W43" s="16"/>
      <c r="X43" s="16"/>
      <c r="Y43" s="16" t="s">
        <v>92</v>
      </c>
      <c r="Z43" s="54"/>
      <c r="AA43" s="68"/>
      <c r="AB43" s="68"/>
      <c r="AC43" s="68"/>
      <c r="AD43" s="68"/>
    </row>
    <row r="44" spans="4:30" ht="15" x14ac:dyDescent="0.25">
      <c r="D44" s="56" t="s">
        <v>94</v>
      </c>
      <c r="E44" s="16"/>
      <c r="F44" s="16"/>
      <c r="G44" s="16"/>
      <c r="H44" s="16"/>
      <c r="I44" s="16"/>
      <c r="J44" s="54"/>
      <c r="K44" s="509"/>
      <c r="L44" s="509"/>
      <c r="M44" s="509"/>
      <c r="N44" s="509"/>
      <c r="T44" s="56" t="s">
        <v>94</v>
      </c>
      <c r="U44" s="16"/>
      <c r="V44" s="16"/>
      <c r="W44" s="16"/>
      <c r="X44" s="16"/>
      <c r="Y44" s="16"/>
      <c r="Z44" s="54"/>
      <c r="AA44" s="69"/>
      <c r="AB44" s="69"/>
      <c r="AC44" s="69"/>
      <c r="AD44" s="69"/>
    </row>
    <row r="45" spans="4:30" ht="15" x14ac:dyDescent="0.25">
      <c r="D45" s="57" t="s">
        <v>336</v>
      </c>
      <c r="E45" s="55"/>
      <c r="F45" s="55"/>
      <c r="G45" s="55"/>
      <c r="H45" s="55"/>
      <c r="I45" s="16"/>
      <c r="J45" s="54"/>
      <c r="K45" s="509"/>
      <c r="L45" s="509"/>
      <c r="M45" s="509"/>
      <c r="N45" s="509"/>
      <c r="T45" s="57" t="s">
        <v>336</v>
      </c>
      <c r="U45" s="55"/>
      <c r="V45" s="55"/>
      <c r="W45" s="55"/>
      <c r="X45" s="55"/>
      <c r="Y45" s="16"/>
      <c r="Z45" s="54"/>
      <c r="AA45" s="69"/>
      <c r="AB45" s="69"/>
      <c r="AC45" s="69"/>
      <c r="AD45" s="69"/>
    </row>
    <row r="46" spans="4:30" ht="15" x14ac:dyDescent="0.25">
      <c r="D46" s="57" t="s">
        <v>337</v>
      </c>
      <c r="E46" s="56"/>
      <c r="F46" s="56"/>
      <c r="G46" s="56"/>
      <c r="H46" s="56"/>
      <c r="I46" s="16"/>
      <c r="J46" s="54"/>
      <c r="K46" s="509"/>
      <c r="L46" s="509"/>
      <c r="M46" s="509"/>
      <c r="N46" s="509"/>
      <c r="T46" s="57" t="s">
        <v>337</v>
      </c>
      <c r="U46" s="56"/>
      <c r="V46" s="56"/>
      <c r="W46" s="56"/>
      <c r="X46" s="56"/>
      <c r="Y46" s="16"/>
      <c r="Z46" s="54"/>
      <c r="AA46" s="69"/>
      <c r="AB46" s="69"/>
      <c r="AC46" s="69"/>
      <c r="AD46" s="69"/>
    </row>
    <row r="47" spans="4:30" ht="15" x14ac:dyDescent="0.25">
      <c r="D47" s="58" t="s">
        <v>101</v>
      </c>
      <c r="E47" s="57"/>
      <c r="F47" s="57"/>
      <c r="G47" s="57"/>
      <c r="H47" s="57"/>
      <c r="I47" s="16"/>
      <c r="J47" s="54"/>
      <c r="K47" s="509"/>
      <c r="L47" s="509"/>
      <c r="M47" s="509"/>
      <c r="N47" s="509"/>
      <c r="T47" s="58" t="s">
        <v>101</v>
      </c>
      <c r="U47" s="57"/>
      <c r="V47" s="57"/>
      <c r="W47" s="57"/>
      <c r="X47" s="57"/>
      <c r="Y47" s="16"/>
      <c r="Z47" s="54"/>
      <c r="AA47" s="69"/>
      <c r="AB47" s="69"/>
      <c r="AC47" s="69"/>
      <c r="AD47" s="69"/>
    </row>
    <row r="48" spans="4:30" ht="15" x14ac:dyDescent="0.25">
      <c r="D48" s="16" t="s">
        <v>105</v>
      </c>
      <c r="E48" s="57"/>
      <c r="F48" s="57"/>
      <c r="G48" s="57"/>
      <c r="H48" s="57"/>
      <c r="I48" s="16" t="s">
        <v>106</v>
      </c>
      <c r="J48" s="54"/>
      <c r="K48" s="509"/>
      <c r="L48" s="509"/>
      <c r="M48" s="509"/>
      <c r="N48" s="509"/>
      <c r="T48" s="16" t="s">
        <v>105</v>
      </c>
      <c r="U48" s="57"/>
      <c r="V48" s="57"/>
      <c r="W48" s="57"/>
      <c r="X48" s="57"/>
      <c r="Y48" s="16" t="s">
        <v>106</v>
      </c>
      <c r="Z48" s="54"/>
      <c r="AA48" s="509"/>
      <c r="AB48" s="509"/>
      <c r="AC48" s="509"/>
      <c r="AD48" s="509"/>
    </row>
    <row r="49" spans="4:30" ht="15" x14ac:dyDescent="0.25">
      <c r="D49" s="56"/>
      <c r="E49" s="57"/>
      <c r="F49" s="57"/>
      <c r="G49" s="57"/>
      <c r="H49" s="57"/>
      <c r="I49" s="16"/>
      <c r="J49" s="54"/>
      <c r="K49" s="16"/>
      <c r="L49" s="16"/>
      <c r="M49" s="16"/>
      <c r="N49" s="16"/>
    </row>
    <row r="50" spans="4:30" ht="15" x14ac:dyDescent="0.25">
      <c r="D50" s="39" t="s">
        <v>342</v>
      </c>
      <c r="I50" s="16"/>
      <c r="K50" s="110"/>
      <c r="L50" s="110"/>
      <c r="M50" s="110"/>
      <c r="N50" s="110"/>
      <c r="T50" s="39" t="s">
        <v>343</v>
      </c>
      <c r="Y50" s="16"/>
      <c r="AA50" s="110"/>
      <c r="AB50" s="110"/>
      <c r="AC50" s="110"/>
      <c r="AD50" s="110"/>
    </row>
    <row r="51" spans="4:30" ht="15" x14ac:dyDescent="0.25">
      <c r="D51" s="16" t="s">
        <v>216</v>
      </c>
      <c r="I51" s="13" t="s">
        <v>78</v>
      </c>
      <c r="K51" s="507"/>
      <c r="L51" s="507"/>
      <c r="M51" s="507"/>
      <c r="N51" s="507"/>
      <c r="T51" s="16" t="s">
        <v>216</v>
      </c>
      <c r="Y51" s="13" t="s">
        <v>78</v>
      </c>
      <c r="AA51" s="67"/>
      <c r="AB51" s="67"/>
      <c r="AC51" s="67"/>
      <c r="AD51" s="67"/>
    </row>
    <row r="52" spans="4:30" ht="15" x14ac:dyDescent="0.25">
      <c r="D52" s="16" t="s">
        <v>86</v>
      </c>
      <c r="E52" s="16"/>
      <c r="F52" s="16"/>
      <c r="G52" s="16"/>
      <c r="H52" s="16"/>
      <c r="I52" s="16" t="s">
        <v>87</v>
      </c>
      <c r="J52" s="29"/>
      <c r="K52" s="508"/>
      <c r="L52" s="508"/>
      <c r="M52" s="508"/>
      <c r="N52" s="508"/>
      <c r="T52" s="16" t="s">
        <v>86</v>
      </c>
      <c r="U52" s="16"/>
      <c r="V52" s="16"/>
      <c r="W52" s="16"/>
      <c r="X52" s="16"/>
      <c r="Y52" s="16" t="s">
        <v>87</v>
      </c>
      <c r="Z52" s="29"/>
      <c r="AA52" s="108"/>
      <c r="AB52" s="108"/>
      <c r="AC52" s="108"/>
      <c r="AD52" s="108"/>
    </row>
    <row r="53" spans="4:30" ht="15" x14ac:dyDescent="0.25">
      <c r="D53" s="16" t="s">
        <v>89</v>
      </c>
      <c r="E53" s="16"/>
      <c r="F53" s="16"/>
      <c r="G53" s="16"/>
      <c r="H53" s="16"/>
      <c r="I53" s="16" t="s">
        <v>87</v>
      </c>
      <c r="J53" s="30"/>
      <c r="K53" s="508"/>
      <c r="L53" s="508"/>
      <c r="M53" s="508"/>
      <c r="N53" s="508"/>
      <c r="T53" s="16" t="s">
        <v>89</v>
      </c>
      <c r="U53" s="16"/>
      <c r="V53" s="16"/>
      <c r="W53" s="16"/>
      <c r="X53" s="16"/>
      <c r="Y53" s="16" t="s">
        <v>87</v>
      </c>
      <c r="Z53" s="30"/>
      <c r="AA53" s="108"/>
      <c r="AB53" s="108"/>
      <c r="AC53" s="108"/>
      <c r="AD53" s="108"/>
    </row>
    <row r="54" spans="4:30" ht="15" x14ac:dyDescent="0.25">
      <c r="D54" s="55" t="s">
        <v>91</v>
      </c>
      <c r="E54" s="16"/>
      <c r="F54" s="16"/>
      <c r="G54" s="16"/>
      <c r="H54" s="16"/>
      <c r="I54" s="16" t="s">
        <v>92</v>
      </c>
      <c r="J54" s="54"/>
      <c r="K54" s="506"/>
      <c r="L54" s="506"/>
      <c r="M54" s="506"/>
      <c r="N54" s="506"/>
      <c r="T54" s="55" t="s">
        <v>91</v>
      </c>
      <c r="U54" s="16"/>
      <c r="V54" s="16"/>
      <c r="W54" s="16"/>
      <c r="X54" s="16"/>
      <c r="Y54" s="16" t="s">
        <v>92</v>
      </c>
      <c r="Z54" s="54"/>
      <c r="AA54" s="68"/>
      <c r="AB54" s="68"/>
      <c r="AC54" s="68"/>
      <c r="AD54" s="68"/>
    </row>
    <row r="55" spans="4:30" ht="15" x14ac:dyDescent="0.25">
      <c r="D55" s="56" t="s">
        <v>94</v>
      </c>
      <c r="E55" s="16"/>
      <c r="F55" s="16"/>
      <c r="G55" s="16"/>
      <c r="H55" s="16"/>
      <c r="I55" s="16"/>
      <c r="J55" s="54"/>
      <c r="K55" s="509"/>
      <c r="L55" s="509"/>
      <c r="M55" s="509"/>
      <c r="N55" s="509"/>
      <c r="T55" s="56" t="s">
        <v>94</v>
      </c>
      <c r="U55" s="16"/>
      <c r="V55" s="16"/>
      <c r="W55" s="16"/>
      <c r="X55" s="16"/>
      <c r="Y55" s="16"/>
      <c r="Z55" s="54"/>
      <c r="AA55" s="69"/>
      <c r="AB55" s="69"/>
      <c r="AC55" s="69"/>
      <c r="AD55" s="69"/>
    </row>
    <row r="56" spans="4:30" ht="15" x14ac:dyDescent="0.25">
      <c r="D56" s="57" t="s">
        <v>336</v>
      </c>
      <c r="E56" s="55"/>
      <c r="F56" s="55"/>
      <c r="G56" s="55"/>
      <c r="H56" s="55"/>
      <c r="I56" s="16"/>
      <c r="J56" s="54"/>
      <c r="K56" s="509"/>
      <c r="L56" s="509"/>
      <c r="M56" s="509"/>
      <c r="N56" s="509"/>
      <c r="T56" s="57" t="s">
        <v>336</v>
      </c>
      <c r="U56" s="55"/>
      <c r="V56" s="55"/>
      <c r="W56" s="55"/>
      <c r="X56" s="55"/>
      <c r="Y56" s="16"/>
      <c r="Z56" s="54"/>
      <c r="AA56" s="69"/>
      <c r="AB56" s="69"/>
      <c r="AC56" s="69"/>
      <c r="AD56" s="69"/>
    </row>
    <row r="57" spans="4:30" ht="15" x14ac:dyDescent="0.25">
      <c r="D57" s="57" t="s">
        <v>337</v>
      </c>
      <c r="E57" s="56"/>
      <c r="F57" s="56"/>
      <c r="G57" s="56"/>
      <c r="H57" s="56"/>
      <c r="I57" s="16"/>
      <c r="J57" s="54"/>
      <c r="K57" s="509"/>
      <c r="L57" s="509"/>
      <c r="M57" s="509"/>
      <c r="N57" s="509"/>
      <c r="T57" s="57" t="s">
        <v>337</v>
      </c>
      <c r="U57" s="56"/>
      <c r="V57" s="56"/>
      <c r="W57" s="56"/>
      <c r="X57" s="56"/>
      <c r="Y57" s="16"/>
      <c r="Z57" s="54"/>
      <c r="AA57" s="69"/>
      <c r="AB57" s="69"/>
      <c r="AC57" s="69"/>
      <c r="AD57" s="69"/>
    </row>
    <row r="58" spans="4:30" ht="15" x14ac:dyDescent="0.25">
      <c r="D58" s="58" t="s">
        <v>101</v>
      </c>
      <c r="E58" s="57"/>
      <c r="F58" s="57"/>
      <c r="G58" s="57"/>
      <c r="H58" s="57"/>
      <c r="I58" s="16"/>
      <c r="J58" s="54"/>
      <c r="K58" s="509"/>
      <c r="L58" s="509"/>
      <c r="M58" s="509"/>
      <c r="N58" s="509"/>
      <c r="T58" s="58" t="s">
        <v>101</v>
      </c>
      <c r="U58" s="57"/>
      <c r="V58" s="57"/>
      <c r="W58" s="57"/>
      <c r="X58" s="57"/>
      <c r="Y58" s="16"/>
      <c r="Z58" s="54"/>
      <c r="AA58" s="69"/>
      <c r="AB58" s="69"/>
      <c r="AC58" s="69"/>
      <c r="AD58" s="69"/>
    </row>
    <row r="59" spans="4:30" ht="15" x14ac:dyDescent="0.25">
      <c r="D59" s="16" t="s">
        <v>105</v>
      </c>
      <c r="E59" s="57"/>
      <c r="F59" s="57"/>
      <c r="G59" s="57"/>
      <c r="H59" s="57"/>
      <c r="I59" s="16" t="s">
        <v>106</v>
      </c>
      <c r="J59" s="54"/>
      <c r="K59" s="509"/>
      <c r="L59" s="509"/>
      <c r="M59" s="509"/>
      <c r="N59" s="509"/>
      <c r="T59" s="16" t="s">
        <v>105</v>
      </c>
      <c r="U59" s="57"/>
      <c r="V59" s="57"/>
      <c r="W59" s="57"/>
      <c r="X59" s="57"/>
      <c r="Y59" s="16" t="s">
        <v>106</v>
      </c>
      <c r="Z59" s="54"/>
      <c r="AA59" s="509"/>
      <c r="AB59" s="509"/>
      <c r="AC59" s="509"/>
      <c r="AD59" s="509"/>
    </row>
    <row r="60" spans="4:30" ht="15" x14ac:dyDescent="0.25">
      <c r="D60" s="16"/>
      <c r="E60" s="16"/>
      <c r="F60" s="16"/>
      <c r="G60" s="16"/>
      <c r="H60" s="16"/>
      <c r="I60" s="16"/>
      <c r="J60" s="54"/>
      <c r="K60" s="16"/>
      <c r="L60" s="16"/>
      <c r="M60" s="16"/>
      <c r="N60" s="16"/>
    </row>
    <row r="61" spans="4:30" ht="15" x14ac:dyDescent="0.25">
      <c r="D61" s="39" t="s">
        <v>344</v>
      </c>
      <c r="I61" s="16"/>
      <c r="K61" s="110"/>
      <c r="L61" s="110"/>
      <c r="M61" s="110"/>
      <c r="N61" s="110"/>
      <c r="T61" s="39" t="s">
        <v>345</v>
      </c>
      <c r="Y61" s="16"/>
      <c r="AA61" s="110"/>
      <c r="AB61" s="110"/>
      <c r="AC61" s="110"/>
      <c r="AD61" s="110"/>
    </row>
    <row r="62" spans="4:30" ht="15" x14ac:dyDescent="0.25">
      <c r="D62" s="16" t="s">
        <v>216</v>
      </c>
      <c r="I62" s="13" t="s">
        <v>78</v>
      </c>
      <c r="K62" s="507"/>
      <c r="L62" s="507"/>
      <c r="M62" s="507"/>
      <c r="N62" s="507"/>
      <c r="T62" s="16" t="s">
        <v>216</v>
      </c>
      <c r="Y62" s="13" t="s">
        <v>78</v>
      </c>
      <c r="AA62" s="67"/>
      <c r="AB62" s="67"/>
      <c r="AC62" s="67"/>
      <c r="AD62" s="67"/>
    </row>
    <row r="63" spans="4:30" ht="15" x14ac:dyDescent="0.25">
      <c r="D63" s="16" t="s">
        <v>86</v>
      </c>
      <c r="E63" s="16"/>
      <c r="F63" s="16"/>
      <c r="G63" s="16"/>
      <c r="H63" s="16"/>
      <c r="I63" s="16" t="s">
        <v>87</v>
      </c>
      <c r="J63" s="29"/>
      <c r="K63" s="508"/>
      <c r="L63" s="508"/>
      <c r="M63" s="508"/>
      <c r="N63" s="508"/>
      <c r="T63" s="16" t="s">
        <v>86</v>
      </c>
      <c r="U63" s="16"/>
      <c r="V63" s="16"/>
      <c r="W63" s="16"/>
      <c r="X63" s="16"/>
      <c r="Y63" s="16" t="s">
        <v>87</v>
      </c>
      <c r="Z63" s="29"/>
      <c r="AA63" s="108"/>
      <c r="AB63" s="108"/>
      <c r="AC63" s="108"/>
      <c r="AD63" s="108"/>
    </row>
    <row r="64" spans="4:30" ht="15" x14ac:dyDescent="0.25">
      <c r="D64" s="16" t="s">
        <v>89</v>
      </c>
      <c r="E64" s="16"/>
      <c r="F64" s="16"/>
      <c r="G64" s="16"/>
      <c r="H64" s="16"/>
      <c r="I64" s="16" t="s">
        <v>87</v>
      </c>
      <c r="J64" s="30"/>
      <c r="K64" s="508"/>
      <c r="L64" s="508"/>
      <c r="M64" s="508"/>
      <c r="N64" s="508"/>
      <c r="T64" s="16" t="s">
        <v>89</v>
      </c>
      <c r="U64" s="16"/>
      <c r="V64" s="16"/>
      <c r="W64" s="16"/>
      <c r="X64" s="16"/>
      <c r="Y64" s="16" t="s">
        <v>87</v>
      </c>
      <c r="Z64" s="30"/>
      <c r="AA64" s="108"/>
      <c r="AB64" s="108"/>
      <c r="AC64" s="108"/>
      <c r="AD64" s="108"/>
    </row>
    <row r="65" spans="4:30" ht="15" x14ac:dyDescent="0.25">
      <c r="D65" s="55" t="s">
        <v>91</v>
      </c>
      <c r="E65" s="16"/>
      <c r="F65" s="16"/>
      <c r="G65" s="16"/>
      <c r="H65" s="16"/>
      <c r="I65" s="16" t="s">
        <v>92</v>
      </c>
      <c r="J65" s="54"/>
      <c r="K65" s="506"/>
      <c r="L65" s="506"/>
      <c r="M65" s="506"/>
      <c r="N65" s="506"/>
      <c r="T65" s="55" t="s">
        <v>91</v>
      </c>
      <c r="U65" s="16"/>
      <c r="V65" s="16"/>
      <c r="W65" s="16"/>
      <c r="X65" s="16"/>
      <c r="Y65" s="16" t="s">
        <v>92</v>
      </c>
      <c r="Z65" s="54"/>
      <c r="AA65" s="68"/>
      <c r="AB65" s="68"/>
      <c r="AC65" s="68"/>
      <c r="AD65" s="68"/>
    </row>
    <row r="66" spans="4:30" ht="15" x14ac:dyDescent="0.25">
      <c r="D66" s="56" t="s">
        <v>94</v>
      </c>
      <c r="E66" s="16"/>
      <c r="F66" s="16"/>
      <c r="G66" s="16"/>
      <c r="H66" s="16"/>
      <c r="I66" s="16"/>
      <c r="J66" s="54"/>
      <c r="K66" s="509"/>
      <c r="L66" s="509"/>
      <c r="M66" s="509"/>
      <c r="N66" s="509"/>
      <c r="T66" s="56" t="s">
        <v>94</v>
      </c>
      <c r="U66" s="16"/>
      <c r="V66" s="16"/>
      <c r="W66" s="16"/>
      <c r="X66" s="16"/>
      <c r="Y66" s="16"/>
      <c r="Z66" s="54"/>
      <c r="AA66" s="69"/>
      <c r="AB66" s="69"/>
      <c r="AC66" s="69"/>
      <c r="AD66" s="69"/>
    </row>
    <row r="67" spans="4:30" ht="15" x14ac:dyDescent="0.25">
      <c r="D67" s="57" t="s">
        <v>336</v>
      </c>
      <c r="E67" s="55"/>
      <c r="F67" s="55"/>
      <c r="G67" s="55"/>
      <c r="H67" s="55"/>
      <c r="I67" s="16"/>
      <c r="J67" s="54"/>
      <c r="K67" s="509"/>
      <c r="L67" s="509"/>
      <c r="M67" s="509"/>
      <c r="N67" s="509"/>
      <c r="T67" s="57" t="s">
        <v>336</v>
      </c>
      <c r="U67" s="55"/>
      <c r="V67" s="55"/>
      <c r="W67" s="55"/>
      <c r="X67" s="55"/>
      <c r="Y67" s="16"/>
      <c r="Z67" s="54"/>
      <c r="AA67" s="69"/>
      <c r="AB67" s="69"/>
      <c r="AC67" s="69"/>
      <c r="AD67" s="69"/>
    </row>
    <row r="68" spans="4:30" ht="15" x14ac:dyDescent="0.25">
      <c r="D68" s="57" t="s">
        <v>337</v>
      </c>
      <c r="E68" s="56"/>
      <c r="F68" s="56"/>
      <c r="G68" s="56"/>
      <c r="H68" s="56"/>
      <c r="I68" s="16"/>
      <c r="J68" s="54"/>
      <c r="K68" s="509"/>
      <c r="L68" s="509"/>
      <c r="M68" s="509"/>
      <c r="N68" s="509"/>
      <c r="T68" s="57" t="s">
        <v>337</v>
      </c>
      <c r="U68" s="56"/>
      <c r="V68" s="56"/>
      <c r="W68" s="56"/>
      <c r="X68" s="56"/>
      <c r="Y68" s="16"/>
      <c r="Z68" s="54"/>
      <c r="AA68" s="69"/>
      <c r="AB68" s="69"/>
      <c r="AC68" s="69"/>
      <c r="AD68" s="69"/>
    </row>
    <row r="69" spans="4:30" ht="15" x14ac:dyDescent="0.25">
      <c r="D69" s="58" t="s">
        <v>101</v>
      </c>
      <c r="E69" s="57"/>
      <c r="F69" s="57"/>
      <c r="G69" s="57"/>
      <c r="H69" s="57"/>
      <c r="I69" s="16"/>
      <c r="J69" s="54"/>
      <c r="K69" s="509"/>
      <c r="L69" s="509"/>
      <c r="M69" s="509"/>
      <c r="N69" s="509"/>
      <c r="T69" s="58" t="s">
        <v>101</v>
      </c>
      <c r="U69" s="57"/>
      <c r="V69" s="57"/>
      <c r="W69" s="57"/>
      <c r="X69" s="57"/>
      <c r="Y69" s="16"/>
      <c r="Z69" s="54"/>
      <c r="AA69" s="69"/>
      <c r="AB69" s="69"/>
      <c r="AC69" s="69"/>
      <c r="AD69" s="69"/>
    </row>
    <row r="70" spans="4:30" ht="15" x14ac:dyDescent="0.25">
      <c r="D70" s="16" t="s">
        <v>105</v>
      </c>
      <c r="E70" s="57"/>
      <c r="F70" s="57"/>
      <c r="G70" s="57"/>
      <c r="H70" s="57"/>
      <c r="I70" s="16" t="s">
        <v>106</v>
      </c>
      <c r="J70" s="54"/>
      <c r="K70" s="509"/>
      <c r="L70" s="509"/>
      <c r="M70" s="509"/>
      <c r="N70" s="509"/>
      <c r="T70" s="16" t="s">
        <v>105</v>
      </c>
      <c r="U70" s="57"/>
      <c r="V70" s="57"/>
      <c r="W70" s="57"/>
      <c r="X70" s="57"/>
      <c r="Y70" s="16" t="s">
        <v>106</v>
      </c>
      <c r="Z70" s="54"/>
      <c r="AA70" s="509"/>
      <c r="AB70" s="509"/>
      <c r="AC70" s="509"/>
      <c r="AD70" s="509"/>
    </row>
    <row r="71" spans="4:30" ht="15" x14ac:dyDescent="0.25">
      <c r="D71" s="16"/>
      <c r="E71" s="16"/>
      <c r="F71" s="16"/>
      <c r="G71" s="16"/>
      <c r="H71" s="16"/>
      <c r="I71" s="16"/>
      <c r="J71" s="29"/>
      <c r="K71" s="16"/>
      <c r="L71" s="16"/>
      <c r="M71" s="16"/>
      <c r="N71" s="16"/>
      <c r="T71" s="16"/>
      <c r="U71" s="57"/>
      <c r="V71" s="57"/>
      <c r="W71" s="57"/>
      <c r="X71" s="57"/>
      <c r="Y71" s="16"/>
      <c r="Z71" s="54"/>
      <c r="AA71" s="16"/>
      <c r="AB71" s="16"/>
      <c r="AC71" s="16"/>
      <c r="AD71" s="16"/>
    </row>
    <row r="72" spans="4:30" ht="15" x14ac:dyDescent="0.25">
      <c r="D72" s="39"/>
      <c r="E72" s="16"/>
      <c r="F72" s="16"/>
      <c r="G72" s="16"/>
      <c r="H72" s="16"/>
      <c r="I72" s="16"/>
      <c r="J72" s="30"/>
      <c r="K72" s="16"/>
      <c r="L72" s="16"/>
      <c r="M72" s="16"/>
      <c r="N72" s="16"/>
      <c r="T72" s="39"/>
      <c r="U72" s="16"/>
      <c r="V72" s="16"/>
      <c r="W72" s="16"/>
      <c r="X72" s="16"/>
      <c r="Y72" s="16"/>
      <c r="Z72" s="30"/>
      <c r="AA72" s="52"/>
      <c r="AB72" s="52"/>
      <c r="AC72" s="52"/>
      <c r="AD72" s="52"/>
    </row>
    <row r="73" spans="4:30" ht="15" x14ac:dyDescent="0.25">
      <c r="D73" s="16"/>
      <c r="E73" s="16"/>
      <c r="F73" s="16"/>
      <c r="G73" s="16"/>
      <c r="H73" s="16"/>
      <c r="I73" s="16"/>
      <c r="J73" s="54"/>
      <c r="K73" s="16"/>
      <c r="L73" s="16"/>
      <c r="M73" s="16"/>
      <c r="N73" s="16"/>
      <c r="T73" s="16"/>
      <c r="U73" s="16"/>
      <c r="V73" s="16"/>
      <c r="W73" s="16"/>
      <c r="X73" s="16"/>
      <c r="Y73" s="16"/>
      <c r="Z73" s="54"/>
      <c r="AA73" s="52"/>
      <c r="AB73" s="52"/>
      <c r="AC73" s="52"/>
      <c r="AD73" s="52"/>
    </row>
    <row r="74" spans="4:30" ht="15" x14ac:dyDescent="0.25">
      <c r="D74" s="16"/>
      <c r="E74" s="16"/>
      <c r="F74" s="16"/>
      <c r="G74" s="16"/>
      <c r="H74" s="16"/>
      <c r="I74" s="16"/>
      <c r="J74" s="54"/>
      <c r="K74" s="16"/>
      <c r="L74" s="16"/>
      <c r="M74" s="16"/>
      <c r="N74" s="16"/>
      <c r="T74" s="16"/>
      <c r="U74" s="16"/>
      <c r="V74" s="16"/>
      <c r="W74" s="16"/>
      <c r="X74" s="16"/>
      <c r="Y74" s="16"/>
      <c r="Z74" s="54"/>
      <c r="AA74" s="52"/>
      <c r="AB74" s="52"/>
      <c r="AC74" s="52"/>
      <c r="AD74" s="52"/>
    </row>
    <row r="75" spans="4:30" ht="15" x14ac:dyDescent="0.25">
      <c r="D75" s="16"/>
      <c r="E75" s="55"/>
      <c r="F75" s="55"/>
      <c r="G75" s="55"/>
      <c r="H75" s="55"/>
      <c r="I75" s="16"/>
      <c r="J75" s="54"/>
      <c r="K75" s="16"/>
      <c r="L75" s="16"/>
      <c r="M75" s="16"/>
      <c r="N75" s="16"/>
      <c r="T75" s="16"/>
      <c r="U75" s="55"/>
      <c r="V75" s="55"/>
      <c r="W75" s="55"/>
      <c r="X75" s="55"/>
      <c r="Y75" s="16"/>
      <c r="Z75" s="54"/>
      <c r="AA75" s="52"/>
      <c r="AB75" s="52"/>
      <c r="AC75" s="52"/>
      <c r="AD75" s="52"/>
    </row>
    <row r="76" spans="4:30" ht="15" x14ac:dyDescent="0.25">
      <c r="D76" s="55"/>
      <c r="E76" s="56"/>
      <c r="F76" s="56"/>
      <c r="G76" s="56"/>
      <c r="H76" s="56"/>
      <c r="I76" s="16"/>
      <c r="J76" s="54"/>
      <c r="K76" s="16"/>
      <c r="L76" s="16"/>
      <c r="M76" s="16"/>
      <c r="N76" s="16"/>
      <c r="T76" s="55"/>
      <c r="U76" s="56"/>
      <c r="V76" s="56"/>
      <c r="W76" s="56"/>
      <c r="X76" s="56"/>
      <c r="Y76" s="16"/>
      <c r="Z76" s="54"/>
      <c r="AA76" s="52"/>
      <c r="AB76" s="52"/>
      <c r="AC76" s="52"/>
      <c r="AD76" s="52"/>
    </row>
    <row r="77" spans="4:30" ht="15" x14ac:dyDescent="0.25">
      <c r="D77" s="56"/>
      <c r="E77" s="57"/>
      <c r="F77" s="57"/>
      <c r="G77" s="57"/>
      <c r="H77" s="57"/>
      <c r="I77" s="16"/>
      <c r="J77" s="54"/>
      <c r="K77" s="16"/>
      <c r="L77" s="16"/>
      <c r="M77" s="16"/>
      <c r="N77" s="16"/>
      <c r="T77" s="56"/>
      <c r="U77" s="57"/>
      <c r="V77" s="57"/>
      <c r="W77" s="57"/>
      <c r="X77" s="57"/>
      <c r="Y77" s="16"/>
      <c r="Z77" s="54"/>
      <c r="AA77" s="52"/>
      <c r="AB77" s="52"/>
      <c r="AC77" s="52"/>
      <c r="AD77" s="52"/>
    </row>
    <row r="78" spans="4:30" ht="15" x14ac:dyDescent="0.25">
      <c r="D78" s="57"/>
      <c r="E78" s="57"/>
      <c r="F78" s="57"/>
      <c r="G78" s="57"/>
      <c r="H78" s="57"/>
      <c r="I78" s="16"/>
      <c r="J78" s="54"/>
      <c r="K78" s="16"/>
      <c r="L78" s="16"/>
      <c r="M78" s="16"/>
      <c r="N78" s="16"/>
      <c r="T78" s="57"/>
      <c r="U78" s="57"/>
      <c r="V78" s="57"/>
      <c r="W78" s="57"/>
      <c r="X78" s="57"/>
      <c r="Y78" s="16"/>
      <c r="Z78" s="54"/>
      <c r="AA78" s="52"/>
      <c r="AB78" s="52"/>
      <c r="AC78" s="52"/>
      <c r="AD78" s="52"/>
    </row>
    <row r="79" spans="4:30" ht="15" x14ac:dyDescent="0.25">
      <c r="D79" s="57"/>
      <c r="E79" s="58"/>
      <c r="F79" s="58"/>
      <c r="G79" s="58"/>
      <c r="H79" s="58"/>
      <c r="I79" s="112"/>
      <c r="J79" s="59"/>
      <c r="K79" s="16"/>
      <c r="L79" s="16"/>
      <c r="M79" s="16"/>
      <c r="N79" s="16"/>
      <c r="T79" s="57"/>
      <c r="U79" s="58"/>
      <c r="V79" s="58"/>
      <c r="W79" s="58"/>
      <c r="X79" s="58"/>
      <c r="Y79" s="112"/>
      <c r="Z79" s="59"/>
      <c r="AA79" s="52"/>
      <c r="AB79" s="52"/>
      <c r="AC79" s="52"/>
      <c r="AD79" s="52"/>
    </row>
    <row r="80" spans="4:30" ht="15" x14ac:dyDescent="0.25">
      <c r="D80" s="58"/>
      <c r="K80" s="16"/>
      <c r="L80" s="16"/>
      <c r="M80" s="16"/>
      <c r="N80" s="16"/>
      <c r="T80" s="58"/>
      <c r="AA80" s="52"/>
      <c r="AB80" s="52"/>
      <c r="AC80" s="52"/>
      <c r="AD80" s="52"/>
    </row>
    <row r="81" spans="4:30" ht="15" x14ac:dyDescent="0.25">
      <c r="D81" s="16"/>
      <c r="I81" s="16"/>
      <c r="K81" s="16"/>
      <c r="L81" s="16"/>
      <c r="M81" s="16"/>
      <c r="N81" s="16"/>
      <c r="T81" s="16"/>
      <c r="Y81" s="16"/>
      <c r="AA81" s="52"/>
      <c r="AB81" s="52"/>
      <c r="AC81" s="52"/>
      <c r="AD81" s="52"/>
    </row>
    <row r="82" spans="4:30" ht="15" x14ac:dyDescent="0.25">
      <c r="D82" s="16"/>
      <c r="K82" s="16"/>
      <c r="L82" s="16"/>
      <c r="M82" s="16"/>
      <c r="N82" s="16"/>
      <c r="T82" s="16"/>
      <c r="AA82" s="52"/>
      <c r="AB82" s="52"/>
      <c r="AC82" s="52"/>
      <c r="AD82" s="52"/>
    </row>
    <row r="83" spans="4:30" x14ac:dyDescent="0.2">
      <c r="AA83" s="52"/>
      <c r="AB83" s="52"/>
      <c r="AC83" s="52"/>
      <c r="AD83" s="52"/>
    </row>
  </sheetData>
  <sheetProtection algorithmName="SHA-512" hashValue="1Zlzpxwx7xrIe901sUf3b8ADysWeJmm14709f05u/oSdtJ/Bf7sGI0rsguQtsd4JmDwM0YVVr6FcigdWLcLu9Q==" saltValue="/w2U+CjgTRyHQE+nzP+JiQ==" spinCount="100000" sheet="1" objects="1" scenarios="1"/>
  <mergeCells count="61">
    <mergeCell ref="AA59:AD59"/>
    <mergeCell ref="K62:N62"/>
    <mergeCell ref="K63:N63"/>
    <mergeCell ref="AA70:AD70"/>
    <mergeCell ref="K65:N65"/>
    <mergeCell ref="K66:N66"/>
    <mergeCell ref="K67:N67"/>
    <mergeCell ref="K68:N68"/>
    <mergeCell ref="K69:N69"/>
    <mergeCell ref="K70:N70"/>
    <mergeCell ref="K64:N64"/>
    <mergeCell ref="K52:N52"/>
    <mergeCell ref="K53:N53"/>
    <mergeCell ref="K54:N54"/>
    <mergeCell ref="K55:N55"/>
    <mergeCell ref="K56:N56"/>
    <mergeCell ref="K57:N57"/>
    <mergeCell ref="K58:N58"/>
    <mergeCell ref="K59:N59"/>
    <mergeCell ref="K51:N51"/>
    <mergeCell ref="AA37:AD37"/>
    <mergeCell ref="K40:N40"/>
    <mergeCell ref="K41:N41"/>
    <mergeCell ref="K42:N42"/>
    <mergeCell ref="K43:N43"/>
    <mergeCell ref="K44:N44"/>
    <mergeCell ref="K37:N37"/>
    <mergeCell ref="K45:N45"/>
    <mergeCell ref="K46:N46"/>
    <mergeCell ref="K47:N47"/>
    <mergeCell ref="K48:N48"/>
    <mergeCell ref="AA48:AD48"/>
    <mergeCell ref="K32:N32"/>
    <mergeCell ref="K33:N33"/>
    <mergeCell ref="K34:N34"/>
    <mergeCell ref="K35:N35"/>
    <mergeCell ref="K36:N36"/>
    <mergeCell ref="AA13:AD13"/>
    <mergeCell ref="K14:N14"/>
    <mergeCell ref="K15:N15"/>
    <mergeCell ref="K31:N31"/>
    <mergeCell ref="K19:N19"/>
    <mergeCell ref="K20:N20"/>
    <mergeCell ref="K21:N21"/>
    <mergeCell ref="K22:N22"/>
    <mergeCell ref="K23:N23"/>
    <mergeCell ref="K24:N24"/>
    <mergeCell ref="K25:N25"/>
    <mergeCell ref="K26:N26"/>
    <mergeCell ref="AA26:AD26"/>
    <mergeCell ref="K29:N29"/>
    <mergeCell ref="K30:N30"/>
    <mergeCell ref="P6:S6"/>
    <mergeCell ref="T6:W6"/>
    <mergeCell ref="K18:N18"/>
    <mergeCell ref="B6:C6"/>
    <mergeCell ref="D6:F6"/>
    <mergeCell ref="G6:K6"/>
    <mergeCell ref="L6:O6"/>
    <mergeCell ref="K12:N12"/>
    <mergeCell ref="K13:N13"/>
  </mergeCells>
  <pageMargins left="0.25" right="0.25" top="0.75" bottom="0.75" header="0.3" footer="0.3"/>
  <pageSetup paperSize="9" scale="64" fitToWidth="0" orientation="portrait" r:id="rId1"/>
  <colBreaks count="2" manualBreakCount="2">
    <brk id="15" min="6" max="65" man="1"/>
    <brk id="18" min="6" max="6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700836FDFCABFB4F988F1CC218A89D0E" ma:contentTypeVersion="13" ma:contentTypeDescription="Skapa ett nytt dokument." ma:contentTypeScope="" ma:versionID="370370f73dd07b1258ae0b644d3ca6cb">
  <xsd:schema xmlns:xsd="http://www.w3.org/2001/XMLSchema" xmlns:xs="http://www.w3.org/2001/XMLSchema" xmlns:p="http://schemas.microsoft.com/office/2006/metadata/properties" xmlns:ns2="c85e6c78-ad1d-484a-98d1-c7d2326a9a4c" xmlns:ns3="b6853bd2-22b9-4d35-8c33-63a4997c86c0" targetNamespace="http://schemas.microsoft.com/office/2006/metadata/properties" ma:root="true" ma:fieldsID="cf2eb4ee0594c2ba1c12ff7c572898d3" ns2:_="" ns3:_="">
    <xsd:import namespace="c85e6c78-ad1d-484a-98d1-c7d2326a9a4c"/>
    <xsd:import namespace="b6853bd2-22b9-4d35-8c33-63a4997c86c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5e6c78-ad1d-484a-98d1-c7d2326a9a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Bildmarkeringar" ma:readOnly="false" ma:fieldId="{5cf76f15-5ced-4ddc-b409-7134ff3c332f}" ma:taxonomyMulti="true" ma:sspId="fca21c6a-0e39-422c-b6d5-4f3c7f47eaf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6853bd2-22b9-4d35-8c33-63a4997c86c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ccdf26c-1956-400c-83cb-7fd62a9e57bc}" ma:internalName="TaxCatchAll" ma:showField="CatchAllData" ma:web="b6853bd2-22b9-4d35-8c33-63a4997c86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85e6c78-ad1d-484a-98d1-c7d2326a9a4c">
      <Terms xmlns="http://schemas.microsoft.com/office/infopath/2007/PartnerControls"/>
    </lcf76f155ced4ddcb4097134ff3c332f>
    <TaxCatchAll xmlns="b6853bd2-22b9-4d35-8c33-63a4997c86c0" xsi:nil="true"/>
  </documentManagement>
</p:properties>
</file>

<file path=customXml/itemProps1.xml><?xml version="1.0" encoding="utf-8"?>
<ds:datastoreItem xmlns:ds="http://schemas.openxmlformats.org/officeDocument/2006/customXml" ds:itemID="{086D05BB-13A2-4D11-A482-C161E6D8E2A4}">
  <ds:schemaRefs>
    <ds:schemaRef ds:uri="http://schemas.microsoft.com/sharepoint/v3/contenttype/forms"/>
  </ds:schemaRefs>
</ds:datastoreItem>
</file>

<file path=customXml/itemProps2.xml><?xml version="1.0" encoding="utf-8"?>
<ds:datastoreItem xmlns:ds="http://schemas.openxmlformats.org/officeDocument/2006/customXml" ds:itemID="{393F5C26-E451-4A09-A83E-DE569380E2F5}"/>
</file>

<file path=customXml/itemProps3.xml><?xml version="1.0" encoding="utf-8"?>
<ds:datastoreItem xmlns:ds="http://schemas.openxmlformats.org/officeDocument/2006/customXml" ds:itemID="{73569D67-2C44-4CCC-9A92-DBA3B2F47374}">
  <ds:schemaRefs>
    <ds:schemaRef ds:uri="http://schemas.openxmlformats.org/package/2006/metadata/core-properties"/>
    <ds:schemaRef ds:uri="95d7dd32-9f76-4a2d-9034-671fa3e2eb51"/>
    <ds:schemaRef ds:uri="http://schemas.microsoft.com/office/2006/documentManagement/types"/>
    <ds:schemaRef ds:uri="16df0fd5-12f6-487c-bdfe-095cf1fe9bd9"/>
    <ds:schemaRef ds:uri="http://schemas.microsoft.com/office/2006/metadata/properties"/>
    <ds:schemaRef ds:uri="http://schemas.microsoft.com/office/infopath/2007/PartnerControls"/>
    <ds:schemaRef ds:uri="http://purl.org/dc/dcmitype/"/>
    <ds:schemaRef ds:uri="http://www.w3.org/XML/1998/namespace"/>
    <ds:schemaRef ds:uri="http://purl.org/dc/terms/"/>
    <ds:schemaRef ds:uri="http://purl.org/dc/elements/1.1/"/>
  </ds:schemaRefs>
</ds:datastoreItem>
</file>

<file path=docMetadata/LabelInfo.xml><?xml version="1.0" encoding="utf-8"?>
<clbl:labelList xmlns:clbl="http://schemas.microsoft.com/office/2020/mipLabelMetadata">
  <clbl:label id="{59096ad9-8b60-446a-90b7-017dbb9421a3}" enabled="1" method="Standard" siteId="{3d234255-e20f-4205-88a5-9658a402999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10</vt:i4>
      </vt:variant>
      <vt:variant>
        <vt:lpstr>Namngivna områden</vt:lpstr>
      </vt:variant>
      <vt:variant>
        <vt:i4>5</vt:i4>
      </vt:variant>
    </vt:vector>
  </HeadingPairs>
  <TitlesOfParts>
    <vt:vector size="15" baseType="lpstr">
      <vt:lpstr>1. Introduktion</vt:lpstr>
      <vt:lpstr>2. LCC A1</vt:lpstr>
      <vt:lpstr>2. LCC A2</vt:lpstr>
      <vt:lpstr>2. LCC A3</vt:lpstr>
      <vt:lpstr>2. LCC A4</vt:lpstr>
      <vt:lpstr>3. Kalkylparametrar</vt:lpstr>
      <vt:lpstr>4. Reduktionsfaktorer, LENI-tal</vt:lpstr>
      <vt:lpstr>5. Beräkningsfaktorer klimat</vt:lpstr>
      <vt:lpstr>6. Resultat</vt:lpstr>
      <vt:lpstr>7. Svarsformulär</vt:lpstr>
      <vt:lpstr>KONTOR</vt:lpstr>
      <vt:lpstr>SJUKHUS</vt:lpstr>
      <vt:lpstr>SKOLA_OCH_RESTAURANG</vt:lpstr>
      <vt:lpstr>SPORTHALL</vt:lpstr>
      <vt:lpstr>'7. Svarsformulär'!Utskriftsområde</vt:lpstr>
    </vt:vector>
  </TitlesOfParts>
  <Manager/>
  <Company>Bångens Teknikkonsult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Sanna Efraimsson</dc:creator>
  <cp:keywords/>
  <dc:description/>
  <cp:lastModifiedBy>Anette Svensson</cp:lastModifiedBy>
  <cp:revision/>
  <dcterms:created xsi:type="dcterms:W3CDTF">1999-02-03T14:10:33Z</dcterms:created>
  <dcterms:modified xsi:type="dcterms:W3CDTF">2025-05-20T11:35:20Z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0x010100700836FDFCABFB4F988F1CC218A89D0E</vt:lpwstr>
  </property>
  <property fmtid="{D5CDD505-2E9C-101B-9397-08002B2CF9AE}" pid="3" name="MediaServiceImageTags">
    <vt:lpwstr/>
  </property>
</Properties>
</file>